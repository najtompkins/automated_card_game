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8469956aedb28dc/Personal Projects/automated_card_game/excel_files/"/>
    </mc:Choice>
  </mc:AlternateContent>
  <xr:revisionPtr revIDLastSave="190264" documentId="8_{BFFD5AF1-89C5-4DAB-B16C-8BAD5FA7BA2F}" xr6:coauthVersionLast="47" xr6:coauthVersionMax="47" xr10:uidLastSave="{30D1AEB5-C184-8847-9F5D-DF95C761C39E}"/>
  <bookViews>
    <workbookView xWindow="-21600" yWindow="0" windowWidth="21600" windowHeight="16200" xr2:uid="{CD079F29-E3A6-430D-A77A-CE7E0CB476AB}"/>
  </bookViews>
  <sheets>
    <sheet name="BackEnd" sheetId="2" r:id="rId1"/>
    <sheet name="FrontEnd (2)" sheetId="5" state="hidden" r:id="rId2"/>
    <sheet name="GameStatistics" sheetId="8" r:id="rId3"/>
    <sheet name="RulesOfTheGame" sheetId="10" r:id="rId4"/>
    <sheet name="GameData" sheetId="3" r:id="rId5"/>
    <sheet name="FrontEnd" sheetId="11" r:id="rId6"/>
  </sheets>
  <functionGroups builtInGroupCount="19"/>
  <definedNames>
    <definedName name="_xlpm.combined" hidden="1" xlm="1">#NAME?</definedName>
    <definedName name="_xlpm.countVals" hidden="1" xlm="1">#NAME?</definedName>
    <definedName name="_xlpm.uniqueVals" hidden="1" xlm="1">#NAME?</definedName>
    <definedName name="CardInf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1" l="1" a="1"/>
  <c r="E4" i="11" s="1"/>
  <c r="F4" i="11" a="1"/>
  <c r="F4" i="11" s="1"/>
  <c r="I5" i="11" a="1"/>
  <c r="I5" i="11" s="1"/>
  <c r="B5" i="11" a="1"/>
  <c r="B5" i="11" s="1"/>
  <c r="G4" i="11" a="1"/>
  <c r="G4" i="11" s="1"/>
  <c r="D4" i="11" a="1"/>
  <c r="D4" i="11" s="1"/>
  <c r="F4" i="5" a="1"/>
  <c r="F4" i="5" s="1"/>
  <c r="J5" i="5" a="1"/>
  <c r="J5" i="5" s="1"/>
  <c r="H4" i="5" a="1"/>
  <c r="H4" i="5" s="1"/>
  <c r="D4" i="5" a="1"/>
  <c r="D4" i="5" s="1"/>
  <c r="B5" i="5" a="1"/>
  <c r="B5" i="5" s="1"/>
  <c r="H8" i="8"/>
  <c r="H7" i="8"/>
  <c r="H6" i="8"/>
  <c r="H5" i="8"/>
  <c r="H4" i="8"/>
  <c r="H3" i="8"/>
  <c r="H2" i="8"/>
  <c r="L6" i="8"/>
  <c r="K9" i="8"/>
  <c r="K8" i="8"/>
  <c r="K7" i="8"/>
  <c r="K6" i="8"/>
  <c r="K5" i="8"/>
  <c r="L5" i="8" s="1"/>
  <c r="K4" i="8"/>
  <c r="K3" i="8"/>
  <c r="E9" i="8"/>
  <c r="E8" i="8"/>
  <c r="E7" i="8"/>
  <c r="E6" i="8"/>
  <c r="F6" i="8" s="1"/>
  <c r="E5" i="8"/>
  <c r="F5" i="8" s="1"/>
  <c r="E4" i="8"/>
  <c r="E3" i="8"/>
  <c r="C7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<sst xmlns="http://schemas.openxmlformats.org/spreadsheetml/2006/main" count="140" uniqueCount="133">
  <si>
    <t>Starting Deck</t>
  </si>
  <si>
    <t>Battle Ground 1</t>
  </si>
  <si>
    <t>Battle Ground 2</t>
  </si>
  <si>
    <t>10 of Diamonds</t>
  </si>
  <si>
    <t>4 of Spades</t>
  </si>
  <si>
    <t>5 of Clubs</t>
  </si>
  <si>
    <t>5 of Diamonds</t>
  </si>
  <si>
    <t>10 of Spades</t>
  </si>
  <si>
    <t>7 of Diamonds</t>
  </si>
  <si>
    <t>Queen of Clubs</t>
  </si>
  <si>
    <t>3 of Clubs</t>
  </si>
  <si>
    <t>Player 1's Hand</t>
  </si>
  <si>
    <t>Player 2's Hand</t>
  </si>
  <si>
    <t>Player 1's Discard Pile</t>
  </si>
  <si>
    <t>Player 2's Discard Pile</t>
  </si>
  <si>
    <t>Ace of Hearts</t>
  </si>
  <si>
    <t>7 of Hearts</t>
  </si>
  <si>
    <t>King of Clubs</t>
  </si>
  <si>
    <t>3 of Diamonds</t>
  </si>
  <si>
    <t>King of Diamonds</t>
  </si>
  <si>
    <t>King of Spades</t>
  </si>
  <si>
    <t>Jack of Diamonds</t>
  </si>
  <si>
    <t>4 of Diamonds</t>
  </si>
  <si>
    <t>Ace</t>
  </si>
  <si>
    <t>Spades</t>
  </si>
  <si>
    <t>8 of Clubs</t>
  </si>
  <si>
    <t>9 of Hearts</t>
  </si>
  <si>
    <t>King</t>
  </si>
  <si>
    <t>Diamonds</t>
  </si>
  <si>
    <t>9 of Spades</t>
  </si>
  <si>
    <t>9 of Diamonds</t>
  </si>
  <si>
    <t>Queen</t>
  </si>
  <si>
    <t>Hearts</t>
  </si>
  <si>
    <t>6 of Spades</t>
  </si>
  <si>
    <t>Jack of Spades</t>
  </si>
  <si>
    <t>Jack</t>
  </si>
  <si>
    <t>Clubs</t>
  </si>
  <si>
    <t>2 of Hearts</t>
  </si>
  <si>
    <t>8 of Diamonds</t>
  </si>
  <si>
    <t>10</t>
  </si>
  <si>
    <t>Ace of Spades</t>
  </si>
  <si>
    <t>King of Hearts</t>
  </si>
  <si>
    <t>9</t>
  </si>
  <si>
    <t>7 of Spades</t>
  </si>
  <si>
    <t>2 of Clubs</t>
  </si>
  <si>
    <t>8</t>
  </si>
  <si>
    <t>4 of Clubs</t>
  </si>
  <si>
    <t>Ace of Diamonds</t>
  </si>
  <si>
    <t>7</t>
  </si>
  <si>
    <t>Queen of Diamonds</t>
  </si>
  <si>
    <t>Queen of Spades</t>
  </si>
  <si>
    <t>6</t>
  </si>
  <si>
    <t>6 of Clubs</t>
  </si>
  <si>
    <t>10 of Clubs</t>
  </si>
  <si>
    <t>5</t>
  </si>
  <si>
    <t>4 of Hearts</t>
  </si>
  <si>
    <t>5 of Spades</t>
  </si>
  <si>
    <t>4</t>
  </si>
  <si>
    <t>2 of Spades</t>
  </si>
  <si>
    <t>5 of Hearts</t>
  </si>
  <si>
    <t>3</t>
  </si>
  <si>
    <t>Ace of Clubs</t>
  </si>
  <si>
    <t>Jack of Clubs</t>
  </si>
  <si>
    <t>2</t>
  </si>
  <si>
    <t>8 of Spades</t>
  </si>
  <si>
    <t>3 of Hearts</t>
  </si>
  <si>
    <t>8 of Hearts</t>
  </si>
  <si>
    <t>Queen of Hearts</t>
  </si>
  <si>
    <t>9 of Clubs</t>
  </si>
  <si>
    <t>6 of Hearts</t>
  </si>
  <si>
    <t>Jack of Hearts</t>
  </si>
  <si>
    <t>10 of Hearts</t>
  </si>
  <si>
    <t>2 of Diamonds</t>
  </si>
  <si>
    <t>7 of Clubs</t>
  </si>
  <si>
    <t>3 of Spades</t>
  </si>
  <si>
    <t>6 of Diamonds</t>
  </si>
  <si>
    <t>Player 1 Statistics</t>
  </si>
  <si>
    <t>Winner:</t>
  </si>
  <si>
    <t>Player 2 Statistics</t>
  </si>
  <si>
    <t>Rounds Won:</t>
  </si>
  <si>
    <t>Number of Rounds:</t>
  </si>
  <si>
    <t>Wars Won:</t>
  </si>
  <si>
    <t>Number of Wars:</t>
  </si>
  <si>
    <t>Most Common Card:</t>
  </si>
  <si>
    <t>Most Wars in a Round:</t>
  </si>
  <si>
    <t>Most Common Suit:</t>
  </si>
  <si>
    <t>Number of Cards Dealt</t>
  </si>
  <si>
    <t>Hands Depleated:</t>
  </si>
  <si>
    <t>Number of Cards Dealt in War:</t>
  </si>
  <si>
    <t>Max Number of Cards Held:</t>
  </si>
  <si>
    <t>Number of Non-War Cards Dealt:</t>
  </si>
  <si>
    <t>Cards Dealt Back Into Hand:</t>
  </si>
  <si>
    <t>How To Play War:</t>
  </si>
  <si>
    <t>The Goal of War:</t>
  </si>
  <si>
    <t>Each player turns up a card at the same time and the player with the higher card takes both cards and puts them, face down, on the bottom of his stack.</t>
  </si>
  <si>
    <r>
      <t xml:space="preserve">To be the first player to win </t>
    </r>
    <r>
      <rPr>
        <u/>
        <sz val="22"/>
        <color theme="1" tint="0.14999847407452621"/>
        <rFont val="Agency FB"/>
        <family val="2"/>
      </rPr>
      <t>all 52 cards</t>
    </r>
    <r>
      <rPr>
        <sz val="22"/>
        <color theme="1" tint="0.14999847407452621"/>
        <rFont val="Agency FB"/>
        <family val="2"/>
      </rPr>
      <t xml:space="preserve">. The game ends when one player has won </t>
    </r>
    <r>
      <rPr>
        <u/>
        <sz val="22"/>
        <color theme="1" tint="0.14999847407452621"/>
        <rFont val="Agency FB"/>
        <family val="2"/>
      </rPr>
      <t>all of the cards</t>
    </r>
    <r>
      <rPr>
        <sz val="22"/>
        <color theme="1" tint="0.14999847407452621"/>
        <rFont val="Agency FB"/>
        <family val="2"/>
      </rPr>
      <t>.</t>
    </r>
  </si>
  <si>
    <t>If the cards are the same rank, it is War. Each player deals 4 cards face down and turns the last card face up. The player with the higher cards takes both piles (six cards). If the turned-up cards are again the same rank, each player places another 4 cards face down and turns the last card face up. The player with the higher card takes all cards in play, and so on.</t>
  </si>
  <si>
    <t>Round #</t>
  </si>
  <si>
    <t>Player 1's Card</t>
  </si>
  <si>
    <t>Player 1's Card Index Value</t>
  </si>
  <si>
    <t>Player 1's Card Face</t>
  </si>
  <si>
    <t>Player 1's Card Suit</t>
  </si>
  <si>
    <t>Player 2's Card</t>
  </si>
  <si>
    <t>Player 2's Card Value</t>
  </si>
  <si>
    <t>Player 2's Card Face</t>
  </si>
  <si>
    <t>Player 2's Card Suit</t>
  </si>
  <si>
    <t>Round Winner</t>
  </si>
  <si>
    <t>War Winner</t>
  </si>
  <si>
    <t>Player 1 Rounds Won</t>
  </si>
  <si>
    <t>Player 2 Rounds Won</t>
  </si>
  <si>
    <t>Player 1 Wars Won</t>
  </si>
  <si>
    <t>Player 2 Wars Won</t>
  </si>
  <si>
    <t>Number of Cards in Player 1's Hand</t>
  </si>
  <si>
    <t>Number of Cards of Player 1's Discard Pile</t>
  </si>
  <si>
    <t>Number of Cards in Player 1's Comparison Table</t>
  </si>
  <si>
    <t>Total Cards for Player 1</t>
  </si>
  <si>
    <t>Number of Cards in Player 2's Hand</t>
  </si>
  <si>
    <t>Number of Cards of Player 2's Discard Pile</t>
  </si>
  <si>
    <t>Number of Cards in Player 2's Comparison Table</t>
  </si>
  <si>
    <t>Total Cards for Player 2</t>
  </si>
  <si>
    <t>Total Cards In Play</t>
  </si>
  <si>
    <t>War Happened</t>
  </si>
  <si>
    <t>Player 1 Ran Out of Cards</t>
  </si>
  <si>
    <t>Cards Dealt Back To Player 1</t>
  </si>
  <si>
    <t>Player 2 Ran Out of Cards</t>
  </si>
  <si>
    <t>Cards Dealt Back To Player 2</t>
  </si>
  <si>
    <t>Total Non-War Cards Dealt In Round</t>
  </si>
  <si>
    <t>Total War Cards Dealt In Round</t>
  </si>
  <si>
    <t>Total Cards Dealt in Round</t>
  </si>
  <si>
    <t>Number of Cards Dealt in All Round Wars</t>
  </si>
  <si>
    <t>Number of Wars this Round</t>
  </si>
  <si>
    <t>Total Number of Wars</t>
  </si>
  <si>
    <t>Card Combinations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</si>
</sst>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8"/>
      <color theme="1"/>
      <name val="Algerian"/>
      <family val="5"/>
    </font>
    <font>
      <sz val="40"/>
      <color theme="1"/>
      <name val="Algerian"/>
      <family val="5"/>
    </font>
    <font>
      <sz val="24"/>
      <color theme="1"/>
      <name val="Bahnschrift Light"/>
      <family val="2"/>
    </font>
    <font>
      <sz val="11"/>
      <color theme="1"/>
      <name val="Bahnschrift Light"/>
      <family val="2"/>
    </font>
    <font>
      <b/>
      <sz val="15"/>
      <color theme="3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26"/>
      <color theme="3"/>
      <name val="Algerian"/>
      <family val="5"/>
    </font>
    <font>
      <sz val="22"/>
      <color theme="1" tint="0.14999847407452621"/>
      <name val="Agency FB"/>
      <family val="2"/>
    </font>
    <font>
      <u/>
      <sz val="11"/>
      <color theme="10"/>
      <name val="Aptos Narrow"/>
      <family val="2"/>
      <scheme val="minor"/>
    </font>
    <font>
      <u/>
      <sz val="22"/>
      <color theme="1" tint="0.14999847407452621"/>
      <name val="Agency FB"/>
      <family val="2"/>
    </font>
    <font>
      <sz val="11"/>
      <color rgb="FF000000"/>
      <name val="Aptos Narrow"/>
    </font>
    <font>
      <sz val="24"/>
      <color rgb="FF000000"/>
      <name val="Algerian"/>
      <charset val="1"/>
    </font>
    <font>
      <b/>
      <sz val="36"/>
      <color rgb="FF000000"/>
      <name val="Algerian"/>
      <charset val="1"/>
    </font>
    <font>
      <sz val="16"/>
      <color theme="1"/>
      <name val="Algerian"/>
      <family val="5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6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5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0" fontId="0" fillId="5" borderId="0" xfId="0" applyFill="1"/>
    <xf numFmtId="0" fontId="5" fillId="5" borderId="0" xfId="0" applyFont="1" applyFill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4" borderId="3" xfId="0" applyFill="1" applyBorder="1"/>
    <xf numFmtId="0" fontId="0" fillId="4" borderId="4" xfId="0" applyFill="1" applyBorder="1"/>
    <xf numFmtId="0" fontId="0" fillId="6" borderId="2" xfId="0" applyFill="1" applyBorder="1"/>
    <xf numFmtId="0" fontId="2" fillId="6" borderId="2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8" borderId="0" xfId="0" applyFill="1"/>
    <xf numFmtId="0" fontId="6" fillId="11" borderId="5" xfId="1" applyFill="1"/>
    <xf numFmtId="0" fontId="8" fillId="8" borderId="0" xfId="0" applyFont="1" applyFill="1"/>
    <xf numFmtId="0" fontId="7" fillId="0" borderId="0" xfId="0" applyFont="1" applyAlignment="1">
      <alignment horizontal="center" vertical="center"/>
    </xf>
    <xf numFmtId="0" fontId="0" fillId="9" borderId="0" xfId="0" applyFill="1"/>
    <xf numFmtId="0" fontId="6" fillId="10" borderId="5" xfId="1" applyFill="1"/>
    <xf numFmtId="0" fontId="0" fillId="0" borderId="6" xfId="0" applyBorder="1"/>
    <xf numFmtId="0" fontId="10" fillId="2" borderId="6" xfId="2" applyFont="1" applyFill="1" applyBorder="1" applyAlignment="1">
      <alignment horizontal="left"/>
    </xf>
    <xf numFmtId="0" fontId="11" fillId="12" borderId="7" xfId="0" applyFont="1" applyFill="1" applyBorder="1" applyAlignment="1">
      <alignment horizontal="left" vertical="top" wrapText="1"/>
    </xf>
    <xf numFmtId="0" fontId="12" fillId="9" borderId="0" xfId="3" applyFill="1"/>
    <xf numFmtId="0" fontId="17" fillId="4" borderId="8" xfId="0" applyFont="1" applyFill="1" applyBorder="1" applyAlignment="1">
      <alignment horizontal="center" vertical="center"/>
    </xf>
    <xf numFmtId="0" fontId="17" fillId="4" borderId="9" xfId="0" applyFont="1" applyFill="1" applyBorder="1" applyAlignment="1">
      <alignment horizontal="center" vertical="center"/>
    </xf>
  </cellXfs>
  <cellStyles count="4">
    <cellStyle name="Heading 1" xfId="1" builtinId="16"/>
    <cellStyle name="Hyperlink" xfId="3" builtinId="8"/>
    <cellStyle name="Normal" xfId="0" builtinId="0"/>
    <cellStyle name="Title" xfId="2" builtinId="15"/>
  </cellStyles>
  <dxfs count="46">
    <dxf>
      <font>
        <b/>
        <i val="0"/>
        <color theme="0"/>
      </font>
      <fill>
        <patternFill>
          <bgColor rgb="FFE31D1D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rgb="FFE31D1D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ill>
        <patternFill>
          <bgColor theme="3" tint="0.499984740745262"/>
        </patternFill>
      </fill>
    </dxf>
    <dxf>
      <fill>
        <patternFill>
          <bgColor rgb="FFFFCC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3" tint="0.499984740745262"/>
        </patternFill>
      </fill>
    </dxf>
    <dxf>
      <fill>
        <patternFill>
          <bgColor rgb="FFFFCC00"/>
        </patternFill>
      </fill>
    </dxf>
    <dxf>
      <fill>
        <patternFill>
          <bgColor rgb="FFFFCC00"/>
        </patternFill>
      </fill>
    </dxf>
    <dxf>
      <fill>
        <patternFill>
          <bgColor theme="3" tint="0.499984740745262"/>
        </patternFill>
      </fill>
    </dxf>
    <dxf>
      <font>
        <b/>
        <i val="0"/>
        <color theme="0"/>
      </font>
      <fill>
        <patternFill>
          <bgColor rgb="FFE31D1D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rgb="FFE31D1D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 patternType="none">
          <fgColor auto="1"/>
          <bgColor auto="1"/>
        </patternFill>
      </fill>
      <border>
        <left style="thin">
          <color auto="1"/>
        </left>
        <right style="thin">
          <color auto="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 style="medium">
          <color indexed="64"/>
        </top>
        <bottom style="thick">
          <color theme="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4"/>
        </bottom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 style="medium">
          <color indexed="64"/>
        </top>
        <bottom style="thick">
          <color theme="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4"/>
        </bottom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2" tint="-0.89999084444715716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2" tint="-0.89999084444715716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4"/>
        </bottom>
      </border>
    </dxf>
  </dxfs>
  <tableStyles count="0" defaultTableStyle="TableStyleMedium2" defaultPivotStyle="PivotStyleLight16"/>
  <colors>
    <mruColors>
      <color rgb="FFFFCC00"/>
      <color rgb="FFFF9933"/>
      <color rgb="FFE3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Card Distribution By Round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"Player 1"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GameData!$S$2:$S$99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51-4F79-A4C0-CE9ACBEF3562}"/>
            </c:ext>
          </c:extLst>
        </c:ser>
        <c:ser>
          <c:idx val="1"/>
          <c:order val="1"/>
          <c:tx>
            <c:v>"Player 2"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GameData!$W$2:$W$99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51-4F79-A4C0-CE9ACBEF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7895183"/>
        <c:axId val="1607896623"/>
      </c:lineChart>
      <c:catAx>
        <c:axId val="1607895183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96623"/>
        <c:crosses val="autoZero"/>
        <c:auto val="1"/>
        <c:lblAlgn val="ctr"/>
        <c:lblOffset val="100"/>
        <c:tickMarkSkip val="100"/>
        <c:noMultiLvlLbl val="0"/>
      </c:catAx>
      <c:valAx>
        <c:axId val="160789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9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Rounds Won</a:t>
            </a:r>
          </a:p>
        </c:rich>
      </c:tx>
      <c:layout>
        <c:manualLayout>
          <c:xMode val="edge"/>
          <c:yMode val="edge"/>
          <c:x val="0.14141643006370699"/>
          <c:y val="1.70504610689482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"Player 1"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0-4EBF-9643-4CFFDF4B77B2}"/>
            </c:ext>
          </c:extLst>
        </c:ser>
        <c:ser>
          <c:idx val="1"/>
          <c:order val="1"/>
          <c:tx>
            <c:v>"Player 2"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GameStatistics!$K$3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0-4EBF-9643-4CFFDF4B77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29656607"/>
        <c:axId val="1529657087"/>
      </c:barChart>
      <c:catAx>
        <c:axId val="1529656607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9657087"/>
        <c:crosses val="autoZero"/>
        <c:auto val="1"/>
        <c:lblAlgn val="ctr"/>
        <c:lblOffset val="100"/>
        <c:noMultiLvlLbl val="0"/>
      </c:catAx>
      <c:valAx>
        <c:axId val="1529657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65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Wars Won</a:t>
            </a:r>
          </a:p>
        </c:rich>
      </c:tx>
      <c:layout>
        <c:manualLayout>
          <c:xMode val="edge"/>
          <c:yMode val="edge"/>
          <c:x val="0.18997978964940737"/>
          <c:y val="2.180203583235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"Player 1"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EE-40F7-A0BF-379458DBEAE2}"/>
            </c:ext>
          </c:extLst>
        </c:ser>
        <c:ser>
          <c:idx val="1"/>
          <c:order val="1"/>
          <c:tx>
            <c:v>"Player 2"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GameStatistics!$K$4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EE-40F7-A0BF-379458DBEA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29656607"/>
        <c:axId val="1529657087"/>
      </c:barChart>
      <c:catAx>
        <c:axId val="1529656607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9657087"/>
        <c:crosses val="autoZero"/>
        <c:auto val="1"/>
        <c:lblAlgn val="ctr"/>
        <c:lblOffset val="100"/>
        <c:noMultiLvlLbl val="0"/>
      </c:catAx>
      <c:valAx>
        <c:axId val="15296570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965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Cards Dealt</a:t>
            </a:r>
            <a:r>
              <a:rPr lang="en-US" baseline="0"/>
              <a:t> Per Round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GameData!$AD$1</c:f>
              <c:strCache>
                <c:ptCount val="1"/>
                <c:pt idx="0">
                  <c:v>Total Non-War Cards Dealt In Round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GameData!$AD$2:$AD$99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C-41C0-A2C3-C96A097DCC4C}"/>
            </c:ext>
          </c:extLst>
        </c:ser>
        <c:ser>
          <c:idx val="1"/>
          <c:order val="1"/>
          <c:tx>
            <c:strRef>
              <c:f>GameData!$AE$1</c:f>
              <c:strCache>
                <c:ptCount val="1"/>
                <c:pt idx="0">
                  <c:v>Total War Cards Dealt In Round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GameData!$AE$2:$AE$99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DC-41C0-A2C3-C96A097DCC4C}"/>
            </c:ext>
          </c:extLst>
        </c:ser>
        <c:ser>
          <c:idx val="2"/>
          <c:order val="2"/>
          <c:tx>
            <c:strRef>
              <c:f>GameData!$AF$1</c:f>
              <c:strCache>
                <c:ptCount val="1"/>
                <c:pt idx="0">
                  <c:v>Total Cards Dealt in Round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GameData!$A$2:$A$99</c:f>
              <c:numCache>
                <c:formatCode>General</c:formatCode>
                <c:ptCount val="98"/>
              </c:numCache>
            </c:numRef>
          </c:cat>
          <c:val>
            <c:numRef>
              <c:f>GameData!$AF$2:$AF$99</c:f>
              <c:numCache>
                <c:formatCode>General</c:formatCode>
                <c:ptCount val="9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DC-41C0-A2C3-C96A097DC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7880303"/>
        <c:axId val="1607880783"/>
      </c:lineChart>
      <c:catAx>
        <c:axId val="160788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80783"/>
        <c:crosses val="autoZero"/>
        <c:auto val="1"/>
        <c:lblAlgn val="ctr"/>
        <c:lblOffset val="100"/>
        <c:tickMarkSkip val="10"/>
        <c:noMultiLvlLbl val="0"/>
      </c:catAx>
      <c:valAx>
        <c:axId val="16078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88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63500</xdr:rowOff>
        </xdr:from>
        <xdr:to>
          <xdr:col>2</xdr:col>
          <xdr:colOff>520700</xdr:colOff>
          <xdr:row>2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Make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177800</xdr:colOff>
          <xdr:row>1</xdr:row>
          <xdr:rowOff>50800</xdr:rowOff>
        </xdr:from>
        <xdr:to>
          <xdr:col>18</xdr:col>
          <xdr:colOff>457200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88900</xdr:rowOff>
        </xdr:from>
        <xdr:to>
          <xdr:col>13</xdr:col>
          <xdr:colOff>330200</xdr:colOff>
          <xdr:row>3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3</xdr:row>
          <xdr:rowOff>50800</xdr:rowOff>
        </xdr:from>
        <xdr:to>
          <xdr:col>2</xdr:col>
          <xdr:colOff>520700</xdr:colOff>
          <xdr:row>5</xdr:row>
          <xdr:rowOff>177800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 5 rounds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6</xdr:row>
          <xdr:rowOff>101600</xdr:rowOff>
        </xdr:from>
        <xdr:to>
          <xdr:col>2</xdr:col>
          <xdr:colOff>520700</xdr:colOff>
          <xdr:row>9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Report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10</xdr:row>
          <xdr:rowOff>63500</xdr:rowOff>
        </xdr:from>
        <xdr:to>
          <xdr:col>2</xdr:col>
          <xdr:colOff>482600</xdr:colOff>
          <xdr:row>13</xdr:row>
          <xdr:rowOff>50800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 To Game Data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166687</xdr:rowOff>
    </xdr:from>
    <xdr:to>
      <xdr:col>9</xdr:col>
      <xdr:colOff>932497</xdr:colOff>
      <xdr:row>23</xdr:row>
      <xdr:rowOff>93133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1119187</xdr:colOff>
      <xdr:row>10</xdr:row>
      <xdr:rowOff>1</xdr:rowOff>
    </xdr:from>
    <xdr:to>
      <xdr:col>12</xdr:col>
      <xdr:colOff>19526</xdr:colOff>
      <xdr:row>39</xdr:row>
      <xdr:rowOff>130494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180498</xdr:colOff>
      <xdr:row>9</xdr:row>
      <xdr:rowOff>174572</xdr:rowOff>
    </xdr:from>
    <xdr:to>
      <xdr:col>13</xdr:col>
      <xdr:colOff>859790</xdr:colOff>
      <xdr:row>39</xdr:row>
      <xdr:rowOff>119063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21589</xdr:colOff>
      <xdr:row>23</xdr:row>
      <xdr:rowOff>142028</xdr:rowOff>
    </xdr:from>
    <xdr:to>
      <xdr:col>9</xdr:col>
      <xdr:colOff>928686</xdr:colOff>
      <xdr:row>39</xdr:row>
      <xdr:rowOff>97790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203200</xdr:colOff>
          <xdr:row>1</xdr:row>
          <xdr:rowOff>12700</xdr:rowOff>
        </xdr:from>
        <xdr:to>
          <xdr:col>13</xdr:col>
          <xdr:colOff>800100</xdr:colOff>
          <xdr:row>8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Algerian"/>
                </a:rPr>
                <a:t>Play Again?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1663700</xdr:colOff>
          <xdr:row>5</xdr:row>
          <xdr:rowOff>749300</xdr:rowOff>
        </xdr:from>
        <xdr:to>
          <xdr:col>3</xdr:col>
          <xdr:colOff>4826000</xdr:colOff>
          <xdr:row>5</xdr:row>
          <xdr:rowOff>2159000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lgerian"/>
                </a:rPr>
                <a:t>Play the Game!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9217" name="PlayWar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C1D54957-49E2-EE6B-1CF8-B8B079E52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Play War!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B48E88-E0CE-6243-9DBA-5EE7EF969D13}" name="StartingDeck" displayName="StartingDeck" ref="I1:I2" insertRow="1" totalsRowShown="0">
  <autoFilter ref="I1:I2" xr:uid="{89B48E88-E0CE-6243-9DBA-5EE7EF969D13}"/>
  <tableColumns count="1">
    <tableColumn id="1" xr3:uid="{EC45188A-4F8D-6042-B722-5AAA09A34E5C}" name="Starting Dec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FAF7D7-35F4-2242-A491-BE6BB3E7BF95}" name="Player 1 Hand" displayName="Player_1_Hand" ref="K6:K31" totalsRowShown="0">
  <autoFilter ref="K6:K31" xr:uid="{1EFAF7D7-35F4-2242-A491-BE6BB3E7BF95}"/>
  <tableColumns count="1">
    <tableColumn id="1" xr3:uid="{0CE57431-EA5D-D542-BA19-FA7CBA0C57E4}" name="Player 1's Han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60095F-6794-5A4B-B1F7-11D742D8D8C8}" name="Player 2 Hand" displayName="Player_2_Hand" ref="M6:M31" totalsRowShown="0">
  <autoFilter ref="M6:M31" xr:uid="{1360095F-6794-5A4B-B1F7-11D742D8D8C8}"/>
  <tableColumns count="1">
    <tableColumn id="1" xr3:uid="{670865E7-EE2D-FE44-88BD-02FBBC501CE4}" name="Player 2's Han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E8304D-F528-6641-8DA9-ABA934386617}" name="Player 1 Discard Pile" displayName="Player_1_Discard_Pile" ref="O6:O8" totalsRowShown="0">
  <autoFilter ref="O6:O8" xr:uid="{55E8304D-F528-6641-8DA9-ABA934386617}"/>
  <tableColumns count="1">
    <tableColumn id="1" xr3:uid="{694E50DF-0053-B641-A08D-74677A32E7F5}" name="Player 1's Discard Pi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37D8A4-DC3E-4D4A-8861-C13F89540327}" name="Player 2 Discard Pile" displayName="Player_2_Discard_Pile" ref="Q6:Q7" insertRow="1" totalsRowShown="0">
  <autoFilter ref="Q6:Q7" xr:uid="{7E37D8A4-DC3E-4D4A-8861-C13F89540327}"/>
  <tableColumns count="1">
    <tableColumn id="1" xr3:uid="{5208F20E-1A69-D349-8272-55EF8AAE32FA}" name="Player 2's Discard Pi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1FE0F9-DEA2-554D-9F71-4FD34D5A4363}" name="ComparisonTable1" displayName="ComparisonTable1" ref="E2:E3" totalsRowShown="0">
  <autoFilter ref="E2:E3" xr:uid="{D91FE0F9-DEA2-554D-9F71-4FD34D5A4363}"/>
  <tableColumns count="1">
    <tableColumn id="1" xr3:uid="{F04A9D36-568B-2E47-BADB-687DED44A8A5}" name="Battle Ground 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D7CD33-D4C6-9A4F-A2D1-8D4B15110E2F}" name="ComparisonTable2" displayName="ComparisonTable2" ref="F2:F3" totalsRowShown="0">
  <autoFilter ref="F2:F3" xr:uid="{6AD7CD33-D4C6-9A4F-A2D1-8D4B15110E2F}"/>
  <tableColumns count="1">
    <tableColumn id="1" xr3:uid="{9EFD4952-3A15-604E-9209-7B797F900E99}" name="Battle Ground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EA5E42E-BF84-487F-8F7C-FF42F3535965}" name="Table9" displayName="Table9" ref="G2:I8" headerRowCount="0" totalsRowShown="0" headerRowBorderDxfId="45" tableBorderDxfId="44">
  <tableColumns count="3">
    <tableColumn id="1" xr3:uid="{6C956E93-0F53-41E9-B47F-2BB4BB319F30}" name="Game Statistics" headerRowDxfId="43" dataDxfId="42" headerRowCellStyle="Heading 1"/>
    <tableColumn id="2" xr3:uid="{62E25F6C-23EB-4B36-A234-B72A628CBBE8}" name="Column1" headerRowDxfId="41" dataDxfId="40" headerRowCellStyle="Heading 1"/>
    <tableColumn id="3" xr3:uid="{7ADD55EB-E020-4985-AF27-6A57EF3ABE9D}" name="Column2" headerRowDxfId="39" dataDxfId="38" headerRowCellStyle="Heading 1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2D32E65-B65E-4913-8747-478B16D47F82}" name="Table10" displayName="Table10" ref="D2:F9" headerRowCount="0" totalsRowShown="0" headerRowDxfId="37" headerRowBorderDxfId="36" tableBorderDxfId="35" headerRowCellStyle="Heading 1">
  <tableColumns count="3">
    <tableColumn id="1" xr3:uid="{9CCFB2ED-FA44-4495-B24D-91C43A9FBAF3}" name="Column1" headerRowDxfId="34" dataDxfId="33" headerRowCellStyle="Heading 1"/>
    <tableColumn id="2" xr3:uid="{9E6C965A-3F1F-4830-A311-FDA88CCA1856}" name="Column2" headerRowDxfId="32" dataDxfId="31" headerRowCellStyle="Heading 1"/>
    <tableColumn id="3" xr3:uid="{D2F4372E-76CF-4243-9247-E280EEC66C79}" name="Column3" headerRowDxfId="30" dataDxfId="29" headerRowCellStyle="Heading 1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B2CE08-5A0B-4771-8F7D-4C3E82F76A49}" name="Table11" displayName="Table11" ref="J2:L9" headerRowCount="0" totalsRowShown="0" headerRowDxfId="28" headerRowBorderDxfId="27" tableBorderDxfId="26" headerRowCellStyle="Heading 1">
  <tableColumns count="3">
    <tableColumn id="1" xr3:uid="{40B874E9-0462-40C3-B62A-2F0028BA9DE1}" name="Column1" headerRowDxfId="25" dataDxfId="24" headerRowCellStyle="Heading 1"/>
    <tableColumn id="2" xr3:uid="{D270D8A9-EA64-4DAB-8B7A-AF021D373239}" name="Column2" headerRowDxfId="23" dataDxfId="22" headerRowCellStyle="Heading 1"/>
    <tableColumn id="3" xr3:uid="{F99AD05E-D4D7-4AA9-995C-1A7E57664D7B}" name="Column3" headerRowDxfId="21" dataDxfId="20" headerRowCellStyle="Heading 1"/>
  </tableColumns>
  <tableStyleInfo name="TableStyleLight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D5D7EEC-3197-064A-A9CE-CB752937B041}" name="GameDataTable" displayName="GameDataTable" ref="A1:AJ2" insertRow="1" totalsRowShown="0">
  <autoFilter ref="A1:AJ2" xr:uid="{7D5D7EEC-3197-064A-A9CE-CB752937B041}"/>
  <tableColumns count="36">
    <tableColumn id="1" xr3:uid="{4C035C2F-95C8-FA4E-8D4C-D1EB8FE56788}" name="Round #"/>
    <tableColumn id="2" xr3:uid="{13B1E472-7877-4D4A-8BAC-2B74CA391503}" name="Player 1's Card"/>
    <tableColumn id="3" xr3:uid="{E1CFB799-68B8-AA45-BC77-25D1EEB50A89}" name="Player 1's Card Index Value"/>
    <tableColumn id="4" xr3:uid="{EABF292F-B741-9845-9EDF-A15CCA796352}" name="Player 1's Card Face"/>
    <tableColumn id="5" xr3:uid="{1AD78A34-26B4-A440-826E-53665A7A76D9}" name="Player 1's Card Suit"/>
    <tableColumn id="6" xr3:uid="{E87DEE70-6918-8B4F-AC85-D0CA50F21CD6}" name="Player 2's Card"/>
    <tableColumn id="7" xr3:uid="{E305F1F6-D731-754D-AC2E-DA6A7FCA568B}" name="Player 2's Card Value"/>
    <tableColumn id="8" xr3:uid="{42596464-7097-4341-AF9F-ADAE28BE9E8B}" name="Player 2's Card Face"/>
    <tableColumn id="9" xr3:uid="{F9E3ED4F-E9DE-E248-B6A1-103FFF78F96E}" name="Player 2's Card Suit"/>
    <tableColumn id="10" xr3:uid="{01FD9390-C95A-284A-8123-D446B31D0455}" name="Round Winner"/>
    <tableColumn id="11" xr3:uid="{7A68303E-559E-C14D-82D3-EC075088711E}" name="War Winner"/>
    <tableColumn id="12" xr3:uid="{B9B11A26-87A0-094C-868D-E80BE1E2D7BC}" name="Player 1 Rounds Won"/>
    <tableColumn id="13" xr3:uid="{CDD67338-E8B4-0841-AB60-7894F5ECE476}" name="Player 2 Rounds Won"/>
    <tableColumn id="14" xr3:uid="{69DD554E-195E-774A-BBCC-42F22CAB3515}" name="Player 1 Wars Won"/>
    <tableColumn id="15" xr3:uid="{A95D22CB-4037-9149-89D2-A9FE73EFD816}" name="Player 2 Wars Won"/>
    <tableColumn id="16" xr3:uid="{1CFAE872-780E-4145-A93F-CD9065BF20E7}" name="Number of Cards in Player 1's Hand"/>
    <tableColumn id="17" xr3:uid="{C1BE929F-A211-9C48-A32F-61D18CB131C5}" name="Number of Cards of Player 1's Discard Pile"/>
    <tableColumn id="18" xr3:uid="{968F86A9-D178-B848-A987-C3C8FDCF3242}" name="Number of Cards in Player 1's Comparison Table"/>
    <tableColumn id="19" xr3:uid="{70747088-7FA5-FB4F-A829-F0EC10BFFF28}" name="Total Cards for Player 1"/>
    <tableColumn id="20" xr3:uid="{ED01F2EB-2054-CC49-92C6-9E8D3EFC2198}" name="Number of Cards in Player 2's Hand"/>
    <tableColumn id="21" xr3:uid="{F4E0E8AC-90A9-764E-96D4-CDB2EF4C4BCA}" name="Number of Cards of Player 2's Discard Pile"/>
    <tableColumn id="22" xr3:uid="{D400C6A5-3EF6-C942-9F61-8A5A90D6471E}" name="Number of Cards in Player 2's Comparison Table"/>
    <tableColumn id="23" xr3:uid="{52756BFC-F0D1-074D-89EF-37CE050A019E}" name="Total Cards for Player 2"/>
    <tableColumn id="24" xr3:uid="{D9B3D7A9-4EFF-524D-A6BE-327064D3FCF6}" name="Total Cards In Play"/>
    <tableColumn id="25" xr3:uid="{138B7954-4798-1445-95FE-03D442BC82B7}" name="War Happened"/>
    <tableColumn id="26" xr3:uid="{3C85AB2F-A5F3-D94E-A835-52E7E2F28A53}" name="Player 1 Ran Out of Cards"/>
    <tableColumn id="27" xr3:uid="{76A42009-93CB-1045-AED6-3802E4F80C71}" name="Cards Dealt Back To Player 1"/>
    <tableColumn id="28" xr3:uid="{636AB5F5-A370-AD4C-8A30-9E3C3096D0B4}" name="Player 2 Ran Out of Cards"/>
    <tableColumn id="29" xr3:uid="{B8DFE727-0A9A-B54B-83B0-68CD2D39282E}" name="Cards Dealt Back To Player 2"/>
    <tableColumn id="30" xr3:uid="{E67D8213-D81D-7E4B-9A33-B6E0C1AE0B93}" name="Total Non-War Cards Dealt In Round"/>
    <tableColumn id="31" xr3:uid="{AA964A5D-C1FF-5E4F-926F-CC7F6F7499A9}" name="Total War Cards Dealt In Round"/>
    <tableColumn id="32" xr3:uid="{6B61D152-CB5F-0F40-9191-085463F2E5A0}" name="Total Cards Dealt in Round"/>
    <tableColumn id="33" xr3:uid="{A0D48FC6-53B1-D145-8972-769593243BFC}" name="Number of Cards Dealt in All Round Wars"/>
    <tableColumn id="34" xr3:uid="{D98691D5-E3AC-1048-9EDF-F21159F02A0A}" name="Number of Wars this Round"/>
    <tableColumn id="35" xr3:uid="{A5F90A6A-42B0-F145-A31D-42DD81FEB998}" name="Total Number of Wars"/>
    <tableColumn id="36" xr3:uid="{3E8E35A5-2CCC-034D-BF13-28DB3259BB71}" name="Card Combina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15" Type="http://schemas.openxmlformats.org/officeDocument/2006/relationships/table" Target="../tables/table7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Relationship Id="rId14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32644-5EEE-4E95-97E8-9547C649EFF0}">
  <sheetPr codeName="Sheet2"/>
  <dimension ref="E1:X31"/>
  <sheetViews>
    <sheetView tabSelected="1" topLeftCell="C1" workbookViewId="0">
      <selection activeCell="O19" sqref="O19:O20"/>
    </sheetView>
  </sheetViews>
  <sheetFormatPr baseColWidth="10" defaultColWidth="8.6640625" defaultRowHeight="15" x14ac:dyDescent="0.2"/>
  <cols>
    <col min="5" max="6" width="12.33203125" customWidth="1"/>
    <col min="9" max="9" width="12.33203125" customWidth="1"/>
    <col min="11" max="11" width="12.33203125" customWidth="1"/>
    <col min="13" max="13" width="12.33203125" customWidth="1"/>
    <col min="15" max="15" width="12.33203125" customWidth="1"/>
    <col min="16" max="16" width="11.33203125" customWidth="1"/>
    <col min="17" max="17" width="12.33203125" customWidth="1"/>
    <col min="20" max="20" width="9.1640625" style="1"/>
    <col min="21" max="21" width="9.1640625" style="4"/>
    <col min="23" max="23" width="9.1640625" style="1"/>
    <col min="24" max="24" width="9.1640625" style="3"/>
    <col min="26" max="26" width="13.1640625" customWidth="1"/>
  </cols>
  <sheetData>
    <row r="1" spans="5:24" x14ac:dyDescent="0.2">
      <c r="I1" t="s">
        <v>0</v>
      </c>
    </row>
    <row r="2" spans="5:24" x14ac:dyDescent="0.2">
      <c r="E2" t="s">
        <v>1</v>
      </c>
      <c r="F2" t="s">
        <v>2</v>
      </c>
    </row>
    <row r="6" spans="5:24" x14ac:dyDescent="0.2">
      <c r="K6" t="s">
        <v>11</v>
      </c>
      <c r="M6" t="s">
        <v>12</v>
      </c>
      <c r="O6" t="s">
        <v>13</v>
      </c>
      <c r="Q6" t="s">
        <v>14</v>
      </c>
    </row>
    <row r="7" spans="5:24" x14ac:dyDescent="0.2">
      <c r="K7" t="s">
        <v>56</v>
      </c>
      <c r="M7" t="s">
        <v>33</v>
      </c>
      <c r="O7" t="s">
        <v>46</v>
      </c>
    </row>
    <row r="8" spans="5:24" x14ac:dyDescent="0.2">
      <c r="K8" t="s">
        <v>38</v>
      </c>
      <c r="M8" t="s">
        <v>10</v>
      </c>
      <c r="O8" t="s">
        <v>53</v>
      </c>
      <c r="T8" s="1" t="s">
        <v>23</v>
      </c>
      <c r="U8" s="4">
        <v>14</v>
      </c>
      <c r="W8" s="1" t="s">
        <v>24</v>
      </c>
      <c r="X8" s="3">
        <v>0.4</v>
      </c>
    </row>
    <row r="9" spans="5:24" x14ac:dyDescent="0.2">
      <c r="K9" t="s">
        <v>64</v>
      </c>
      <c r="M9" t="s">
        <v>73</v>
      </c>
      <c r="T9" s="1" t="s">
        <v>27</v>
      </c>
      <c r="U9" s="4">
        <v>13</v>
      </c>
      <c r="W9" s="1" t="s">
        <v>28</v>
      </c>
      <c r="X9" s="3">
        <v>0.3</v>
      </c>
    </row>
    <row r="10" spans="5:24" x14ac:dyDescent="0.2">
      <c r="K10" t="s">
        <v>15</v>
      </c>
      <c r="M10" t="s">
        <v>68</v>
      </c>
      <c r="T10" s="1" t="s">
        <v>31</v>
      </c>
      <c r="U10" s="4">
        <v>12</v>
      </c>
      <c r="W10" s="1" t="s">
        <v>32</v>
      </c>
      <c r="X10" s="3">
        <v>0.2</v>
      </c>
    </row>
    <row r="11" spans="5:24" x14ac:dyDescent="0.2">
      <c r="K11" t="s">
        <v>8</v>
      </c>
      <c r="M11" t="s">
        <v>30</v>
      </c>
      <c r="T11" s="1" t="s">
        <v>35</v>
      </c>
      <c r="U11" s="4">
        <v>11</v>
      </c>
      <c r="W11" s="1" t="s">
        <v>36</v>
      </c>
      <c r="X11" s="3">
        <v>0.1</v>
      </c>
    </row>
    <row r="12" spans="5:24" x14ac:dyDescent="0.2">
      <c r="K12" t="s">
        <v>37</v>
      </c>
      <c r="M12" t="s">
        <v>17</v>
      </c>
      <c r="T12" s="2" t="s">
        <v>39</v>
      </c>
      <c r="U12" s="4">
        <v>10</v>
      </c>
    </row>
    <row r="13" spans="5:24" x14ac:dyDescent="0.2">
      <c r="K13" t="s">
        <v>34</v>
      </c>
      <c r="M13" t="s">
        <v>22</v>
      </c>
      <c r="T13" s="2" t="s">
        <v>42</v>
      </c>
      <c r="U13" s="4">
        <v>9</v>
      </c>
    </row>
    <row r="14" spans="5:24" x14ac:dyDescent="0.2">
      <c r="K14" t="s">
        <v>47</v>
      </c>
      <c r="M14" t="s">
        <v>16</v>
      </c>
      <c r="T14" s="2" t="s">
        <v>45</v>
      </c>
      <c r="U14" s="4">
        <v>8</v>
      </c>
    </row>
    <row r="15" spans="5:24" x14ac:dyDescent="0.2">
      <c r="K15" t="s">
        <v>49</v>
      </c>
      <c r="M15" t="s">
        <v>25</v>
      </c>
      <c r="T15" s="2" t="s">
        <v>48</v>
      </c>
      <c r="U15" s="4">
        <v>7</v>
      </c>
    </row>
    <row r="16" spans="5:24" x14ac:dyDescent="0.2">
      <c r="K16" t="s">
        <v>58</v>
      </c>
      <c r="M16" t="s">
        <v>5</v>
      </c>
      <c r="T16" s="2" t="s">
        <v>51</v>
      </c>
      <c r="U16" s="4">
        <v>6</v>
      </c>
    </row>
    <row r="17" spans="11:21" x14ac:dyDescent="0.2">
      <c r="K17" t="s">
        <v>66</v>
      </c>
      <c r="M17" t="s">
        <v>70</v>
      </c>
      <c r="T17" s="2" t="s">
        <v>54</v>
      </c>
      <c r="U17" s="4">
        <v>5</v>
      </c>
    </row>
    <row r="18" spans="11:21" x14ac:dyDescent="0.2">
      <c r="K18" t="s">
        <v>19</v>
      </c>
      <c r="M18" t="s">
        <v>72</v>
      </c>
      <c r="T18" s="2" t="s">
        <v>57</v>
      </c>
      <c r="U18" s="4">
        <v>4</v>
      </c>
    </row>
    <row r="19" spans="11:21" x14ac:dyDescent="0.2">
      <c r="K19" t="s">
        <v>59</v>
      </c>
      <c r="M19" t="s">
        <v>69</v>
      </c>
      <c r="T19" s="2" t="s">
        <v>60</v>
      </c>
      <c r="U19" s="4">
        <v>3</v>
      </c>
    </row>
    <row r="20" spans="11:21" x14ac:dyDescent="0.2">
      <c r="K20" t="s">
        <v>43</v>
      </c>
      <c r="M20" t="s">
        <v>18</v>
      </c>
      <c r="T20" s="2" t="s">
        <v>63</v>
      </c>
      <c r="U20" s="4">
        <v>2</v>
      </c>
    </row>
    <row r="21" spans="11:21" x14ac:dyDescent="0.2">
      <c r="K21" t="s">
        <v>6</v>
      </c>
      <c r="M21" t="s">
        <v>20</v>
      </c>
    </row>
    <row r="22" spans="11:21" x14ac:dyDescent="0.2">
      <c r="K22" t="s">
        <v>52</v>
      </c>
      <c r="M22" t="s">
        <v>40</v>
      </c>
    </row>
    <row r="23" spans="11:21" x14ac:dyDescent="0.2">
      <c r="K23" t="s">
        <v>62</v>
      </c>
      <c r="M23" t="s">
        <v>61</v>
      </c>
    </row>
    <row r="24" spans="11:21" x14ac:dyDescent="0.2">
      <c r="K24" t="s">
        <v>75</v>
      </c>
      <c r="M24" t="s">
        <v>50</v>
      </c>
    </row>
    <row r="25" spans="11:21" x14ac:dyDescent="0.2">
      <c r="K25" t="s">
        <v>3</v>
      </c>
      <c r="M25" t="s">
        <v>74</v>
      </c>
    </row>
    <row r="26" spans="11:21" x14ac:dyDescent="0.2">
      <c r="K26" t="s">
        <v>55</v>
      </c>
      <c r="M26" t="s">
        <v>7</v>
      </c>
    </row>
    <row r="27" spans="11:21" x14ac:dyDescent="0.2">
      <c r="K27" t="s">
        <v>41</v>
      </c>
      <c r="M27" t="s">
        <v>4</v>
      </c>
    </row>
    <row r="28" spans="11:21" x14ac:dyDescent="0.2">
      <c r="K28" t="s">
        <v>67</v>
      </c>
      <c r="M28" t="s">
        <v>9</v>
      </c>
    </row>
    <row r="29" spans="11:21" x14ac:dyDescent="0.2">
      <c r="K29" t="s">
        <v>21</v>
      </c>
      <c r="M29" t="s">
        <v>26</v>
      </c>
    </row>
    <row r="30" spans="11:21" x14ac:dyDescent="0.2">
      <c r="K30" t="s">
        <v>44</v>
      </c>
      <c r="M30" t="s">
        <v>65</v>
      </c>
    </row>
    <row r="31" spans="11:21" x14ac:dyDescent="0.2">
      <c r="K31" t="s">
        <v>71</v>
      </c>
      <c r="M31" t="s">
        <v>29</v>
      </c>
    </row>
  </sheetData>
  <phoneticPr fontId="1" type="noConversion"/>
  <dataValidations count="2">
    <dataValidation type="list" allowBlank="1" showInputMessage="1" showErrorMessage="1" sqref="AA7" xr:uid="{A93D08CC-F4B3-40D0-A852-B128C3913922}">
      <formula1>$W$8:$W$11</formula1>
    </dataValidation>
    <dataValidation type="list" allowBlank="1" showInputMessage="1" showErrorMessage="1" sqref="AA6" xr:uid="{641E42C4-19EA-4125-85FD-C1B3352B250A}">
      <formula1>$T$8:$T$20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Everything.MakeEverything">
                <anchor moveWithCells="1" sizeWithCells="1">
                  <from>
                    <xdr:col>0</xdr:col>
                    <xdr:colOff>88900</xdr:colOff>
                    <xdr:row>0</xdr:row>
                    <xdr:rowOff>63500</xdr:rowOff>
                  </from>
                  <to>
                    <xdr:col>2</xdr:col>
                    <xdr:colOff>520700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scard">
                <anchor moveWithCells="1" sizeWithCells="1">
                  <from>
                    <xdr:col>16</xdr:col>
                    <xdr:colOff>177800</xdr:colOff>
                    <xdr:row>1</xdr:row>
                    <xdr:rowOff>50800</xdr:rowOff>
                  </from>
                  <to>
                    <xdr:col>18</xdr:col>
                    <xdr:colOff>457200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ealToComparisonTable.DealToComparisonTable">
                <anchor moveWithCells="1" sizeWithCells="1">
                  <from>
                    <xdr:col>11</xdr:col>
                    <xdr:colOff>25400</xdr:colOff>
                    <xdr:row>1</xdr:row>
                    <xdr:rowOff>88900</xdr:rowOff>
                  </from>
                  <to>
                    <xdr:col>13</xdr:col>
                    <xdr:colOff>330200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layWar2.PlayWar2">
                <anchor moveWithCells="1" sizeWithCells="1">
                  <from>
                    <xdr:col>0</xdr:col>
                    <xdr:colOff>88900</xdr:colOff>
                    <xdr:row>3</xdr:row>
                    <xdr:rowOff>50800</xdr:rowOff>
                  </from>
                  <to>
                    <xdr:col>2</xdr:col>
                    <xdr:colOff>520700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CreateGameChart">
                <anchor moveWithCells="1" sizeWithCells="1">
                  <from>
                    <xdr:col>0</xdr:col>
                    <xdr:colOff>127000</xdr:colOff>
                    <xdr:row>6</xdr:row>
                    <xdr:rowOff>101600</xdr:rowOff>
                  </from>
                  <to>
                    <xdr:col>2</xdr:col>
                    <xdr:colOff>520700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FormatGameDataTable">
                <anchor moveWithCells="1" sizeWithCells="1">
                  <from>
                    <xdr:col>0</xdr:col>
                    <xdr:colOff>177800</xdr:colOff>
                    <xdr:row>10</xdr:row>
                    <xdr:rowOff>63500</xdr:rowOff>
                  </from>
                  <to>
                    <xdr:col>2</xdr:col>
                    <xdr:colOff>482600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B4201-8710-4925-A20E-B5CA426F953A}">
  <sheetPr codeName="Sheet5"/>
  <dimension ref="A1:M83"/>
  <sheetViews>
    <sheetView zoomScale="50" zoomScaleNormal="50" workbookViewId="0">
      <selection activeCell="D14" sqref="D14"/>
    </sheetView>
  </sheetViews>
  <sheetFormatPr baseColWidth="10" defaultColWidth="15.1640625" defaultRowHeight="15" x14ac:dyDescent="0.2"/>
  <cols>
    <col min="1" max="1" width="22.6640625" customWidth="1"/>
    <col min="2" max="2" width="30.5" customWidth="1"/>
    <col min="3" max="3" width="24.6640625" customWidth="1"/>
    <col min="4" max="4" width="46.33203125" bestFit="1" customWidth="1"/>
    <col min="5" max="5" width="30.5" customWidth="1"/>
    <col min="6" max="6" width="32.1640625" customWidth="1"/>
    <col min="7" max="7" width="30.5" customWidth="1"/>
    <col min="8" max="8" width="46.33203125" bestFit="1" customWidth="1"/>
    <col min="9" max="9" width="24.6640625" customWidth="1"/>
    <col min="10" max="11" width="30.5" customWidth="1"/>
  </cols>
  <sheetData>
    <row r="1" spans="1:13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3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1:13" ht="16" thickBo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1:13" ht="62" customHeight="1" thickBot="1" x14ac:dyDescent="0.25">
      <c r="A4" s="11"/>
      <c r="B4" s="11"/>
      <c r="C4" s="11"/>
      <c r="D4" s="6" t="str" cm="1">
        <f t="array" ref="D4:D29">Player_1_Hand[#All]</f>
        <v>Player 1's Hand</v>
      </c>
      <c r="E4" s="15"/>
      <c r="F4" s="8" t="str" cm="1">
        <f t="array" ref="F4:F5">StartingDeck[#All]</f>
        <v>Starting Deck</v>
      </c>
      <c r="G4" s="16"/>
      <c r="H4" s="7" t="str" cm="1">
        <f t="array" ref="H4:H29">Player_2_Hand[#All]</f>
        <v>Player 2's Hand</v>
      </c>
      <c r="I4" s="11"/>
      <c r="J4" s="11"/>
      <c r="K4" s="11"/>
      <c r="L4" s="11"/>
      <c r="M4" s="11"/>
    </row>
    <row r="5" spans="1:13" ht="36.5" customHeight="1" thickBot="1" x14ac:dyDescent="0.25">
      <c r="A5" s="17"/>
      <c r="B5" s="18" t="str" cm="1">
        <f t="array" ref="B5:B7">Player_1_Discard_Pile[#All]</f>
        <v>Player 1's Discard Pile</v>
      </c>
      <c r="C5" s="19"/>
      <c r="D5" s="13" t="str">
        <v>5 of Spades</v>
      </c>
      <c r="E5" s="14"/>
      <c r="F5" s="14">
        <v>0</v>
      </c>
      <c r="G5" s="11"/>
      <c r="H5" s="13" t="str">
        <v>6 of Spades</v>
      </c>
      <c r="I5" s="20"/>
      <c r="J5" s="21" t="str" cm="1">
        <f t="array" ref="J5:J6">Player_2_Discard_Pile[#All]</f>
        <v>Player 2's Discard Pile</v>
      </c>
      <c r="K5" s="22"/>
      <c r="L5" s="11"/>
      <c r="M5" s="11"/>
    </row>
    <row r="6" spans="1:13" s="5" customFormat="1" ht="20" customHeight="1" x14ac:dyDescent="0.2">
      <c r="A6" s="9"/>
      <c r="B6" s="10" t="str">
        <v>4 of Clubs</v>
      </c>
      <c r="C6" s="9"/>
      <c r="D6" s="10" t="str">
        <v>8 of Diamonds</v>
      </c>
      <c r="E6" s="9"/>
      <c r="F6" s="9"/>
      <c r="G6" s="9"/>
      <c r="H6" s="10" t="str">
        <v>3 of Clubs</v>
      </c>
      <c r="I6" s="9"/>
      <c r="J6" s="10">
        <v>0</v>
      </c>
      <c r="K6" s="9"/>
      <c r="L6" s="9"/>
      <c r="M6" s="9"/>
    </row>
    <row r="7" spans="1:13" s="5" customFormat="1" ht="20" customHeight="1" x14ac:dyDescent="0.2">
      <c r="A7" s="9"/>
      <c r="B7" s="10" t="str">
        <v>10 of Clubs</v>
      </c>
      <c r="C7" s="9"/>
      <c r="D7" s="10" t="str">
        <v>8 of Spades</v>
      </c>
      <c r="E7" s="9"/>
      <c r="F7" s="9"/>
      <c r="G7" s="9"/>
      <c r="H7" s="10" t="str">
        <v>7 of Clubs</v>
      </c>
      <c r="I7" s="9"/>
      <c r="J7" s="10"/>
      <c r="K7" s="9"/>
      <c r="L7" s="9"/>
      <c r="M7" s="9"/>
    </row>
    <row r="8" spans="1:13" s="5" customFormat="1" ht="20" customHeight="1" x14ac:dyDescent="0.2">
      <c r="A8" s="9"/>
      <c r="B8" s="10"/>
      <c r="C8" s="9"/>
      <c r="D8" s="10" t="str">
        <v>Ace of Hearts</v>
      </c>
      <c r="E8" s="9"/>
      <c r="F8" s="9"/>
      <c r="G8" s="9"/>
      <c r="H8" s="10" t="str">
        <v>9 of Clubs</v>
      </c>
      <c r="I8" s="9"/>
      <c r="J8" s="10"/>
      <c r="K8" s="9"/>
      <c r="L8" s="9"/>
      <c r="M8" s="9"/>
    </row>
    <row r="9" spans="1:13" s="5" customFormat="1" ht="20" customHeight="1" x14ac:dyDescent="0.2">
      <c r="A9" s="9"/>
      <c r="B9" s="10"/>
      <c r="C9" s="9"/>
      <c r="D9" s="10" t="str">
        <v>7 of Diamonds</v>
      </c>
      <c r="E9" s="9"/>
      <c r="F9" s="9"/>
      <c r="G9" s="9"/>
      <c r="H9" s="10" t="str">
        <v>9 of Diamonds</v>
      </c>
      <c r="I9" s="9"/>
      <c r="J9" s="10"/>
      <c r="K9" s="9"/>
      <c r="L9" s="9"/>
      <c r="M9" s="9"/>
    </row>
    <row r="10" spans="1:13" s="5" customFormat="1" ht="20" customHeight="1" x14ac:dyDescent="0.2">
      <c r="A10" s="9"/>
      <c r="B10" s="10"/>
      <c r="C10" s="9"/>
      <c r="D10" s="10" t="str">
        <v>2 of Hearts</v>
      </c>
      <c r="E10" s="9"/>
      <c r="F10" s="9"/>
      <c r="G10" s="9"/>
      <c r="H10" s="10" t="str">
        <v>King of Clubs</v>
      </c>
      <c r="I10" s="9"/>
      <c r="J10" s="10"/>
      <c r="K10" s="9"/>
      <c r="L10" s="9"/>
      <c r="M10" s="9"/>
    </row>
    <row r="11" spans="1:13" s="5" customFormat="1" ht="20" customHeight="1" x14ac:dyDescent="0.2">
      <c r="A11" s="9"/>
      <c r="B11" s="10"/>
      <c r="C11" s="9"/>
      <c r="D11" s="10" t="str">
        <v>Jack of Spades</v>
      </c>
      <c r="E11" s="9"/>
      <c r="F11" s="9"/>
      <c r="G11" s="9"/>
      <c r="H11" s="10" t="str">
        <v>4 of Diamonds</v>
      </c>
      <c r="I11" s="9"/>
      <c r="J11" s="10"/>
      <c r="K11" s="9"/>
      <c r="L11" s="9"/>
      <c r="M11" s="9"/>
    </row>
    <row r="12" spans="1:13" s="5" customFormat="1" ht="20" customHeight="1" x14ac:dyDescent="0.2">
      <c r="A12" s="9"/>
      <c r="B12" s="10"/>
      <c r="C12" s="9"/>
      <c r="D12" s="10" t="str">
        <v>Ace of Diamonds</v>
      </c>
      <c r="E12" s="9"/>
      <c r="F12" s="9"/>
      <c r="G12" s="9"/>
      <c r="H12" s="10" t="str">
        <v>7 of Hearts</v>
      </c>
      <c r="I12" s="9"/>
      <c r="J12" s="10"/>
      <c r="K12" s="9"/>
      <c r="L12" s="9"/>
      <c r="M12" s="9"/>
    </row>
    <row r="13" spans="1:13" s="5" customFormat="1" ht="20" customHeight="1" x14ac:dyDescent="0.2">
      <c r="A13" s="9"/>
      <c r="B13" s="10"/>
      <c r="C13" s="9"/>
      <c r="D13" s="10" t="str">
        <v>Queen of Diamonds</v>
      </c>
      <c r="E13" s="9"/>
      <c r="F13" s="9"/>
      <c r="G13" s="9"/>
      <c r="H13" s="10" t="str">
        <v>8 of Clubs</v>
      </c>
      <c r="I13" s="9"/>
      <c r="J13" s="10"/>
      <c r="K13" s="9"/>
      <c r="L13" s="9"/>
      <c r="M13" s="9"/>
    </row>
    <row r="14" spans="1:13" s="5" customFormat="1" ht="20" customHeight="1" x14ac:dyDescent="0.2">
      <c r="A14" s="9"/>
      <c r="B14" s="10"/>
      <c r="C14" s="9"/>
      <c r="D14" s="10" t="str">
        <v>2 of Spades</v>
      </c>
      <c r="E14" s="9"/>
      <c r="F14" s="9"/>
      <c r="G14" s="9"/>
      <c r="H14" s="10" t="str">
        <v>5 of Clubs</v>
      </c>
      <c r="I14" s="9"/>
      <c r="J14" s="10"/>
      <c r="K14" s="9"/>
      <c r="L14" s="9"/>
      <c r="M14" s="9"/>
    </row>
    <row r="15" spans="1:13" s="5" customFormat="1" ht="20" customHeight="1" x14ac:dyDescent="0.2">
      <c r="A15" s="9"/>
      <c r="B15" s="10"/>
      <c r="C15" s="9"/>
      <c r="D15" s="10" t="str">
        <v>8 of Hearts</v>
      </c>
      <c r="E15" s="9"/>
      <c r="F15" s="9"/>
      <c r="G15" s="9"/>
      <c r="H15" s="10" t="str">
        <v>Jack of Hearts</v>
      </c>
      <c r="I15" s="9"/>
      <c r="J15" s="10"/>
      <c r="K15" s="9"/>
      <c r="L15" s="9"/>
      <c r="M15" s="9"/>
    </row>
    <row r="16" spans="1:13" s="5" customFormat="1" ht="20" customHeight="1" x14ac:dyDescent="0.2">
      <c r="A16" s="9"/>
      <c r="B16" s="10"/>
      <c r="C16" s="9"/>
      <c r="D16" s="10" t="str">
        <v>King of Diamonds</v>
      </c>
      <c r="E16" s="9"/>
      <c r="F16" s="9"/>
      <c r="G16" s="9"/>
      <c r="H16" s="10" t="str">
        <v>2 of Diamonds</v>
      </c>
      <c r="I16" s="9"/>
      <c r="J16" s="10"/>
      <c r="K16" s="9"/>
      <c r="L16" s="9"/>
      <c r="M16" s="9"/>
    </row>
    <row r="17" spans="1:13" s="5" customFormat="1" ht="20" customHeight="1" x14ac:dyDescent="0.2">
      <c r="A17" s="9"/>
      <c r="B17" s="10"/>
      <c r="C17" s="9"/>
      <c r="D17" s="10" t="str">
        <v>5 of Hearts</v>
      </c>
      <c r="E17" s="9"/>
      <c r="F17" s="9"/>
      <c r="G17" s="9"/>
      <c r="H17" s="10" t="str">
        <v>6 of Hearts</v>
      </c>
      <c r="I17" s="9"/>
      <c r="J17" s="10"/>
      <c r="K17" s="9"/>
      <c r="L17" s="9"/>
      <c r="M17" s="9"/>
    </row>
    <row r="18" spans="1:13" s="5" customFormat="1" ht="20" customHeight="1" x14ac:dyDescent="0.2">
      <c r="A18" s="9"/>
      <c r="B18" s="10"/>
      <c r="C18" s="9"/>
      <c r="D18" s="10" t="str">
        <v>7 of Spades</v>
      </c>
      <c r="E18" s="9"/>
      <c r="F18" s="9"/>
      <c r="G18" s="9"/>
      <c r="H18" s="10" t="str">
        <v>3 of Diamonds</v>
      </c>
      <c r="I18" s="9"/>
      <c r="J18" s="10"/>
      <c r="K18" s="9"/>
      <c r="L18" s="9"/>
      <c r="M18" s="9"/>
    </row>
    <row r="19" spans="1:13" s="5" customFormat="1" ht="20" customHeight="1" x14ac:dyDescent="0.2">
      <c r="A19" s="9"/>
      <c r="B19" s="10"/>
      <c r="C19" s="9"/>
      <c r="D19" s="10" t="str">
        <v>5 of Diamonds</v>
      </c>
      <c r="E19" s="9"/>
      <c r="F19" s="9"/>
      <c r="G19" s="9"/>
      <c r="H19" s="10" t="str">
        <v>King of Spades</v>
      </c>
      <c r="I19" s="9"/>
      <c r="J19" s="10"/>
      <c r="K19" s="9"/>
      <c r="L19" s="9"/>
      <c r="M19" s="9"/>
    </row>
    <row r="20" spans="1:13" s="5" customFormat="1" ht="20" customHeight="1" x14ac:dyDescent="0.2">
      <c r="A20" s="9"/>
      <c r="B20" s="10"/>
      <c r="C20" s="9"/>
      <c r="D20" s="10" t="str">
        <v>6 of Clubs</v>
      </c>
      <c r="E20" s="9"/>
      <c r="F20" s="9"/>
      <c r="G20" s="9"/>
      <c r="H20" s="10" t="str">
        <v>Ace of Spades</v>
      </c>
      <c r="I20" s="9"/>
      <c r="J20" s="10"/>
      <c r="K20" s="9"/>
      <c r="L20" s="9"/>
      <c r="M20" s="9"/>
    </row>
    <row r="21" spans="1:13" s="5" customFormat="1" ht="20" customHeight="1" x14ac:dyDescent="0.2">
      <c r="A21" s="9"/>
      <c r="B21" s="10"/>
      <c r="C21" s="9"/>
      <c r="D21" s="10" t="str">
        <v>Jack of Clubs</v>
      </c>
      <c r="E21" s="9"/>
      <c r="F21" s="9"/>
      <c r="G21" s="9"/>
      <c r="H21" s="10" t="str">
        <v>Ace of Clubs</v>
      </c>
      <c r="I21" s="9"/>
      <c r="J21" s="10"/>
      <c r="K21" s="9"/>
      <c r="L21" s="9"/>
      <c r="M21" s="9"/>
    </row>
    <row r="22" spans="1:13" s="5" customFormat="1" ht="20" customHeight="1" x14ac:dyDescent="0.2">
      <c r="A22" s="9"/>
      <c r="B22" s="10"/>
      <c r="C22" s="9"/>
      <c r="D22" s="10" t="str">
        <v>6 of Diamonds</v>
      </c>
      <c r="E22" s="9"/>
      <c r="F22" s="9"/>
      <c r="G22" s="9"/>
      <c r="H22" s="10" t="str">
        <v>Queen of Spades</v>
      </c>
      <c r="I22" s="9"/>
      <c r="J22" s="10"/>
      <c r="K22" s="9"/>
      <c r="L22" s="9"/>
      <c r="M22" s="9"/>
    </row>
    <row r="23" spans="1:13" s="5" customFormat="1" ht="20" customHeight="1" x14ac:dyDescent="0.2">
      <c r="A23" s="9"/>
      <c r="B23" s="10"/>
      <c r="C23" s="9"/>
      <c r="D23" s="10" t="str">
        <v>10 of Diamonds</v>
      </c>
      <c r="E23" s="9"/>
      <c r="F23" s="9"/>
      <c r="G23" s="9"/>
      <c r="H23" s="10" t="str">
        <v>3 of Spades</v>
      </c>
      <c r="I23" s="9"/>
      <c r="J23" s="10"/>
      <c r="K23" s="9"/>
      <c r="L23" s="9"/>
      <c r="M23" s="9"/>
    </row>
    <row r="24" spans="1:13" s="5" customFormat="1" ht="20" customHeight="1" x14ac:dyDescent="0.2">
      <c r="A24" s="9"/>
      <c r="B24" s="10"/>
      <c r="C24" s="9"/>
      <c r="D24" s="10" t="str">
        <v>4 of Hearts</v>
      </c>
      <c r="E24" s="9"/>
      <c r="F24" s="9"/>
      <c r="G24" s="9"/>
      <c r="H24" s="10" t="str">
        <v>10 of Spades</v>
      </c>
      <c r="I24" s="9"/>
      <c r="J24" s="10"/>
      <c r="K24" s="9"/>
      <c r="L24" s="9"/>
      <c r="M24" s="9"/>
    </row>
    <row r="25" spans="1:13" s="5" customFormat="1" ht="20" customHeight="1" x14ac:dyDescent="0.2">
      <c r="A25" s="9"/>
      <c r="B25" s="10"/>
      <c r="C25" s="9"/>
      <c r="D25" s="10" t="str">
        <v>King of Hearts</v>
      </c>
      <c r="E25" s="9"/>
      <c r="F25" s="9"/>
      <c r="G25" s="9"/>
      <c r="H25" s="10" t="str">
        <v>4 of Spades</v>
      </c>
      <c r="I25" s="9"/>
      <c r="J25" s="10"/>
      <c r="K25" s="9"/>
      <c r="L25" s="9"/>
      <c r="M25" s="9"/>
    </row>
    <row r="26" spans="1:13" s="5" customFormat="1" ht="20" customHeight="1" x14ac:dyDescent="0.2">
      <c r="A26" s="9"/>
      <c r="B26" s="10"/>
      <c r="C26" s="9"/>
      <c r="D26" s="10" t="str">
        <v>Queen of Hearts</v>
      </c>
      <c r="E26" s="9"/>
      <c r="F26" s="9"/>
      <c r="G26" s="9"/>
      <c r="H26" s="10" t="str">
        <v>Queen of Clubs</v>
      </c>
      <c r="I26" s="9"/>
      <c r="J26" s="10"/>
      <c r="K26" s="9"/>
      <c r="L26" s="9"/>
      <c r="M26" s="9"/>
    </row>
    <row r="27" spans="1:13" s="5" customFormat="1" ht="20" customHeight="1" x14ac:dyDescent="0.2">
      <c r="A27" s="9"/>
      <c r="B27" s="10"/>
      <c r="C27" s="9"/>
      <c r="D27" s="10" t="str">
        <v>Jack of Diamonds</v>
      </c>
      <c r="E27" s="9"/>
      <c r="F27" s="9"/>
      <c r="G27" s="9"/>
      <c r="H27" s="10" t="str">
        <v>9 of Hearts</v>
      </c>
      <c r="I27" s="9"/>
      <c r="J27" s="10"/>
      <c r="K27" s="9"/>
      <c r="L27" s="9"/>
      <c r="M27" s="9"/>
    </row>
    <row r="28" spans="1:13" s="5" customFormat="1" ht="20" customHeight="1" x14ac:dyDescent="0.2">
      <c r="A28" s="9"/>
      <c r="B28" s="10"/>
      <c r="C28" s="9"/>
      <c r="D28" s="10" t="str">
        <v>2 of Clubs</v>
      </c>
      <c r="E28" s="9"/>
      <c r="F28" s="9"/>
      <c r="G28" s="9"/>
      <c r="H28" s="10" t="str">
        <v>3 of Hearts</v>
      </c>
      <c r="I28" s="9"/>
      <c r="J28" s="10"/>
      <c r="K28" s="9"/>
      <c r="L28" s="9"/>
      <c r="M28" s="9"/>
    </row>
    <row r="29" spans="1:13" s="5" customFormat="1" ht="20" customHeight="1" x14ac:dyDescent="0.2">
      <c r="A29" s="9"/>
      <c r="B29" s="10"/>
      <c r="C29" s="9"/>
      <c r="D29" s="10" t="str">
        <v>10 of Hearts</v>
      </c>
      <c r="E29" s="9"/>
      <c r="F29" s="9"/>
      <c r="G29" s="9"/>
      <c r="H29" s="10" t="str">
        <v>9 of Spades</v>
      </c>
      <c r="I29" s="9"/>
      <c r="J29" s="10"/>
      <c r="K29" s="9"/>
      <c r="L29" s="9"/>
      <c r="M29" s="9"/>
    </row>
    <row r="30" spans="1:13" s="5" customFormat="1" ht="20" customHeight="1" x14ac:dyDescent="0.2">
      <c r="A30" s="9"/>
      <c r="B30" s="10"/>
      <c r="C30" s="9"/>
      <c r="D30" s="10"/>
      <c r="E30" s="9"/>
      <c r="F30" s="9"/>
      <c r="G30" s="9"/>
      <c r="H30" s="10"/>
      <c r="I30" s="9"/>
      <c r="J30" s="10"/>
      <c r="K30" s="9"/>
      <c r="L30" s="9"/>
      <c r="M30" s="9"/>
    </row>
    <row r="31" spans="1:13" s="5" customFormat="1" ht="20" customHeight="1" x14ac:dyDescent="0.2">
      <c r="A31" s="9"/>
      <c r="B31" s="10"/>
      <c r="C31" s="9"/>
      <c r="D31" s="10"/>
      <c r="E31" s="9"/>
      <c r="F31" s="9"/>
      <c r="G31" s="9"/>
      <c r="H31" s="10"/>
      <c r="I31" s="9"/>
      <c r="J31" s="10"/>
      <c r="K31" s="9"/>
      <c r="L31" s="9"/>
      <c r="M31" s="9"/>
    </row>
    <row r="32" spans="1:13" s="5" customFormat="1" ht="20" customHeight="1" x14ac:dyDescent="0.2">
      <c r="A32" s="9"/>
      <c r="B32" s="10"/>
      <c r="C32" s="9"/>
      <c r="D32" s="10"/>
      <c r="E32" s="9"/>
      <c r="F32" s="9"/>
      <c r="G32" s="9"/>
      <c r="H32" s="10"/>
      <c r="I32" s="9"/>
      <c r="J32" s="10"/>
      <c r="K32" s="9"/>
      <c r="L32" s="9"/>
      <c r="M32" s="9"/>
    </row>
    <row r="33" spans="1:13" s="5" customFormat="1" ht="20" customHeight="1" x14ac:dyDescent="0.2">
      <c r="A33" s="9"/>
      <c r="B33" s="10"/>
      <c r="C33" s="9"/>
      <c r="D33" s="10"/>
      <c r="E33" s="9"/>
      <c r="F33" s="9"/>
      <c r="G33" s="9"/>
      <c r="H33" s="10"/>
      <c r="I33" s="9"/>
      <c r="J33" s="10"/>
      <c r="K33" s="9"/>
      <c r="L33" s="9"/>
      <c r="M33" s="9"/>
    </row>
    <row r="34" spans="1:13" s="5" customFormat="1" ht="20" customHeight="1" x14ac:dyDescent="0.2">
      <c r="A34" s="9"/>
      <c r="B34" s="10"/>
      <c r="C34" s="9"/>
      <c r="D34" s="10"/>
      <c r="E34" s="9"/>
      <c r="F34" s="9"/>
      <c r="G34" s="9"/>
      <c r="H34" s="10"/>
      <c r="I34" s="9"/>
      <c r="J34" s="10"/>
      <c r="K34" s="9"/>
      <c r="L34" s="9"/>
      <c r="M34" s="9"/>
    </row>
    <row r="35" spans="1:13" s="5" customFormat="1" ht="20" customHeight="1" x14ac:dyDescent="0.2">
      <c r="A35" s="9"/>
      <c r="B35" s="10"/>
      <c r="C35" s="9"/>
      <c r="D35" s="10"/>
      <c r="E35" s="9"/>
      <c r="F35" s="9"/>
      <c r="G35" s="9"/>
      <c r="H35" s="10"/>
      <c r="I35" s="9"/>
      <c r="J35" s="10"/>
      <c r="K35" s="9"/>
      <c r="L35" s="9"/>
      <c r="M35" s="9"/>
    </row>
    <row r="36" spans="1:13" s="5" customFormat="1" ht="20" customHeight="1" x14ac:dyDescent="0.2">
      <c r="A36" s="9"/>
      <c r="B36" s="10"/>
      <c r="C36" s="9"/>
      <c r="D36" s="10"/>
      <c r="E36" s="9"/>
      <c r="F36" s="9"/>
      <c r="G36" s="9"/>
      <c r="H36" s="10"/>
      <c r="I36" s="9"/>
      <c r="J36" s="10"/>
      <c r="K36" s="9"/>
      <c r="L36" s="9"/>
      <c r="M36" s="9"/>
    </row>
    <row r="37" spans="1:13" s="5" customFormat="1" ht="20" customHeight="1" x14ac:dyDescent="0.2">
      <c r="A37" s="9"/>
      <c r="B37" s="10"/>
      <c r="C37" s="9"/>
      <c r="D37" s="10"/>
      <c r="E37" s="9"/>
      <c r="F37" s="9"/>
      <c r="G37" s="9"/>
      <c r="H37" s="10"/>
      <c r="I37" s="9"/>
      <c r="J37" s="10"/>
      <c r="K37" s="9"/>
      <c r="L37" s="9"/>
      <c r="M37" s="9"/>
    </row>
    <row r="38" spans="1:13" s="5" customFormat="1" ht="20" customHeight="1" x14ac:dyDescent="0.2">
      <c r="A38" s="9"/>
      <c r="B38" s="10"/>
      <c r="C38" s="9"/>
      <c r="D38" s="10"/>
      <c r="E38" s="9"/>
      <c r="F38" s="9"/>
      <c r="G38" s="9"/>
      <c r="H38" s="10"/>
      <c r="I38" s="9"/>
      <c r="J38" s="10"/>
      <c r="K38" s="9"/>
      <c r="L38" s="9"/>
      <c r="M38" s="9"/>
    </row>
    <row r="39" spans="1:13" s="5" customFormat="1" ht="20" customHeight="1" x14ac:dyDescent="0.2">
      <c r="A39" s="9"/>
      <c r="B39" s="10"/>
      <c r="C39" s="9"/>
      <c r="D39" s="10"/>
      <c r="E39" s="9"/>
      <c r="F39" s="9"/>
      <c r="G39" s="9"/>
      <c r="H39" s="10"/>
      <c r="I39" s="9"/>
      <c r="J39" s="10"/>
      <c r="K39" s="9"/>
      <c r="L39" s="9"/>
      <c r="M39" s="9"/>
    </row>
    <row r="40" spans="1:13" s="5" customFormat="1" ht="20" customHeight="1" x14ac:dyDescent="0.2">
      <c r="A40" s="9"/>
      <c r="B40" s="10"/>
      <c r="C40" s="9"/>
      <c r="D40" s="10"/>
      <c r="E40" s="9"/>
      <c r="F40" s="9"/>
      <c r="G40" s="9"/>
      <c r="H40" s="10"/>
      <c r="I40" s="9"/>
      <c r="J40" s="10"/>
      <c r="K40" s="9"/>
      <c r="L40" s="9"/>
      <c r="M40" s="9"/>
    </row>
    <row r="41" spans="1:13" s="5" customFormat="1" ht="20" customHeight="1" x14ac:dyDescent="0.2">
      <c r="A41" s="9"/>
      <c r="B41" s="10"/>
      <c r="C41" s="9"/>
      <c r="D41" s="10"/>
      <c r="E41" s="9"/>
      <c r="F41" s="9"/>
      <c r="G41" s="9"/>
      <c r="H41" s="10"/>
      <c r="I41" s="9"/>
      <c r="J41" s="10"/>
      <c r="K41" s="9"/>
      <c r="L41" s="9"/>
      <c r="M41" s="9"/>
    </row>
    <row r="42" spans="1:13" s="5" customFormat="1" ht="20" customHeight="1" x14ac:dyDescent="0.2">
      <c r="A42" s="9"/>
      <c r="B42" s="10"/>
      <c r="C42" s="9"/>
      <c r="D42" s="10"/>
      <c r="E42" s="9"/>
      <c r="F42" s="9"/>
      <c r="G42" s="9"/>
      <c r="H42" s="10"/>
      <c r="I42" s="9"/>
      <c r="J42" s="10"/>
      <c r="K42" s="9"/>
      <c r="L42" s="9"/>
      <c r="M42" s="9"/>
    </row>
    <row r="43" spans="1:13" s="5" customFormat="1" ht="20" customHeight="1" x14ac:dyDescent="0.2">
      <c r="A43" s="9"/>
      <c r="B43" s="10"/>
      <c r="C43" s="9"/>
      <c r="D43" s="10"/>
      <c r="E43" s="9"/>
      <c r="F43" s="9"/>
      <c r="G43" s="9"/>
      <c r="H43" s="10"/>
      <c r="I43" s="9"/>
      <c r="J43" s="10"/>
      <c r="K43" s="9"/>
      <c r="L43" s="9"/>
      <c r="M43" s="9"/>
    </row>
    <row r="44" spans="1:13" s="5" customFormat="1" ht="20" customHeight="1" x14ac:dyDescent="0.2">
      <c r="A44" s="9"/>
      <c r="B44" s="10"/>
      <c r="C44" s="9"/>
      <c r="D44" s="10"/>
      <c r="E44" s="9"/>
      <c r="F44" s="9"/>
      <c r="G44" s="9"/>
      <c r="H44" s="10"/>
      <c r="I44" s="9"/>
      <c r="J44" s="10"/>
      <c r="K44" s="9"/>
      <c r="L44" s="9"/>
      <c r="M44" s="9"/>
    </row>
    <row r="45" spans="1:13" s="5" customFormat="1" ht="20" customHeight="1" x14ac:dyDescent="0.2">
      <c r="A45" s="9"/>
      <c r="B45" s="10"/>
      <c r="C45" s="9"/>
      <c r="D45" s="10"/>
      <c r="E45" s="9"/>
      <c r="F45" s="9"/>
      <c r="G45" s="9"/>
      <c r="H45" s="10"/>
      <c r="I45" s="9"/>
      <c r="J45" s="10"/>
      <c r="K45" s="9"/>
      <c r="L45" s="9"/>
      <c r="M45" s="9"/>
    </row>
    <row r="46" spans="1:13" s="5" customFormat="1" ht="20" customHeight="1" x14ac:dyDescent="0.2">
      <c r="A46" s="9"/>
      <c r="B46" s="10"/>
      <c r="C46" s="9"/>
      <c r="D46" s="10"/>
      <c r="E46" s="9"/>
      <c r="F46" s="9"/>
      <c r="G46" s="9"/>
      <c r="H46" s="10"/>
      <c r="I46" s="9"/>
      <c r="J46" s="10"/>
      <c r="K46" s="9"/>
      <c r="L46" s="9"/>
      <c r="M46" s="9"/>
    </row>
    <row r="47" spans="1:13" s="5" customFormat="1" ht="20" customHeight="1" x14ac:dyDescent="0.2">
      <c r="A47" s="9"/>
      <c r="B47" s="10"/>
      <c r="C47" s="9"/>
      <c r="D47" s="10"/>
      <c r="E47" s="9"/>
      <c r="F47" s="9"/>
      <c r="G47" s="9"/>
      <c r="H47" s="10"/>
      <c r="I47" s="9"/>
      <c r="J47" s="10"/>
      <c r="K47" s="9"/>
      <c r="L47" s="9"/>
      <c r="M47" s="9"/>
    </row>
    <row r="48" spans="1:13" s="5" customFormat="1" ht="20" customHeight="1" x14ac:dyDescent="0.2">
      <c r="A48" s="9"/>
      <c r="B48" s="10"/>
      <c r="C48" s="9"/>
      <c r="D48" s="10"/>
      <c r="E48" s="9"/>
      <c r="F48" s="9"/>
      <c r="G48" s="9"/>
      <c r="H48" s="10"/>
      <c r="I48" s="9"/>
      <c r="J48" s="10"/>
      <c r="K48" s="9"/>
      <c r="L48" s="9"/>
      <c r="M48" s="9"/>
    </row>
    <row r="49" spans="1:13" s="5" customFormat="1" ht="20" customHeight="1" x14ac:dyDescent="0.2">
      <c r="A49" s="9"/>
      <c r="B49" s="10"/>
      <c r="C49" s="9"/>
      <c r="D49" s="10"/>
      <c r="E49" s="9"/>
      <c r="F49" s="9"/>
      <c r="G49" s="9"/>
      <c r="H49" s="10"/>
      <c r="I49" s="9"/>
      <c r="J49" s="10"/>
      <c r="K49" s="9"/>
      <c r="L49" s="9"/>
      <c r="M49" s="9"/>
    </row>
    <row r="50" spans="1:13" s="5" customFormat="1" ht="20" customHeight="1" x14ac:dyDescent="0.2">
      <c r="A50" s="9"/>
      <c r="B50" s="10"/>
      <c r="C50" s="9"/>
      <c r="D50" s="10"/>
      <c r="E50" s="9"/>
      <c r="F50" s="9"/>
      <c r="G50" s="9"/>
      <c r="H50" s="10"/>
      <c r="I50" s="9"/>
      <c r="J50" s="10"/>
      <c r="K50" s="9"/>
      <c r="L50" s="9"/>
      <c r="M50" s="9"/>
    </row>
    <row r="51" spans="1:13" s="5" customFormat="1" ht="20" customHeight="1" x14ac:dyDescent="0.2">
      <c r="A51" s="9"/>
      <c r="B51" s="10"/>
      <c r="C51" s="9"/>
      <c r="D51" s="10"/>
      <c r="E51" s="9"/>
      <c r="F51" s="9"/>
      <c r="G51" s="9"/>
      <c r="H51" s="10"/>
      <c r="I51" s="9"/>
      <c r="J51" s="10"/>
      <c r="K51" s="9"/>
      <c r="L51" s="9"/>
      <c r="M51" s="9"/>
    </row>
    <row r="52" spans="1:13" s="5" customFormat="1" ht="20" customHeight="1" x14ac:dyDescent="0.2">
      <c r="A52" s="9"/>
      <c r="B52" s="10"/>
      <c r="C52" s="9"/>
      <c r="D52" s="10"/>
      <c r="E52" s="9"/>
      <c r="F52" s="9"/>
      <c r="G52" s="9"/>
      <c r="H52" s="10"/>
      <c r="I52" s="9"/>
      <c r="J52" s="10"/>
      <c r="K52" s="9"/>
      <c r="L52" s="9"/>
      <c r="M52" s="9"/>
    </row>
    <row r="53" spans="1:13" s="5" customFormat="1" ht="20" customHeight="1" x14ac:dyDescent="0.2">
      <c r="A53" s="9"/>
      <c r="B53" s="10"/>
      <c r="C53" s="9"/>
      <c r="D53" s="10"/>
      <c r="E53" s="9"/>
      <c r="F53" s="9"/>
      <c r="G53" s="9"/>
      <c r="H53" s="10"/>
      <c r="I53" s="9"/>
      <c r="J53" s="10"/>
      <c r="K53" s="9"/>
      <c r="L53" s="9"/>
      <c r="M53" s="9"/>
    </row>
    <row r="54" spans="1:13" s="5" customFormat="1" ht="20" customHeight="1" x14ac:dyDescent="0.2">
      <c r="A54" s="9"/>
      <c r="B54" s="10"/>
      <c r="C54" s="9"/>
      <c r="D54" s="10"/>
      <c r="E54" s="9"/>
      <c r="F54" s="9"/>
      <c r="G54" s="9"/>
      <c r="H54" s="10"/>
      <c r="I54" s="9"/>
      <c r="J54" s="10"/>
      <c r="K54" s="9"/>
      <c r="L54" s="9"/>
      <c r="M54" s="9"/>
    </row>
    <row r="55" spans="1:13" s="5" customFormat="1" ht="20" customHeight="1" x14ac:dyDescent="0.2">
      <c r="A55" s="9"/>
      <c r="B55" s="10"/>
      <c r="C55" s="9"/>
      <c r="D55" s="10"/>
      <c r="E55" s="9"/>
      <c r="F55" s="9"/>
      <c r="G55" s="9"/>
      <c r="H55" s="10"/>
      <c r="I55" s="9"/>
      <c r="J55" s="10"/>
      <c r="K55" s="9"/>
      <c r="L55" s="9"/>
      <c r="M55" s="9"/>
    </row>
    <row r="56" spans="1:13" s="5" customFormat="1" ht="20" customHeight="1" x14ac:dyDescent="0.2">
      <c r="A56" s="9"/>
      <c r="B56" s="10"/>
      <c r="C56" s="9"/>
      <c r="D56" s="10"/>
      <c r="E56" s="9"/>
      <c r="F56" s="9"/>
      <c r="G56" s="9"/>
      <c r="H56" s="10"/>
      <c r="I56" s="9"/>
      <c r="J56" s="10"/>
      <c r="K56" s="9"/>
      <c r="L56" s="9"/>
      <c r="M56" s="9"/>
    </row>
    <row r="57" spans="1:13" s="5" customFormat="1" ht="20" customHeight="1" x14ac:dyDescent="0.2">
      <c r="A57" s="9"/>
      <c r="B57" s="10"/>
      <c r="C57" s="9"/>
      <c r="D57" s="10"/>
      <c r="E57" s="9"/>
      <c r="F57" s="9"/>
      <c r="G57" s="9"/>
      <c r="H57" s="10"/>
      <c r="I57" s="9"/>
      <c r="J57" s="10"/>
      <c r="K57" s="9"/>
      <c r="L57" s="9"/>
      <c r="M57" s="9"/>
    </row>
    <row r="58" spans="1:13" s="5" customFormat="1" ht="20" customHeight="1" x14ac:dyDescent="0.2">
      <c r="A58" s="9"/>
      <c r="B58" s="10"/>
      <c r="C58" s="9"/>
      <c r="D58" s="10"/>
      <c r="E58" s="9"/>
      <c r="F58" s="9"/>
      <c r="G58" s="9"/>
      <c r="H58" s="10"/>
      <c r="I58" s="9"/>
      <c r="J58" s="10"/>
      <c r="K58" s="9"/>
      <c r="L58" s="9"/>
      <c r="M58" s="9"/>
    </row>
    <row r="59" spans="1:13" s="5" customFormat="1" ht="20" customHeight="1" x14ac:dyDescent="0.2">
      <c r="A59" s="9"/>
      <c r="B59" s="10"/>
      <c r="C59" s="9"/>
      <c r="D59" s="10"/>
      <c r="E59" s="9"/>
      <c r="F59" s="9"/>
      <c r="G59" s="9"/>
      <c r="H59" s="10"/>
      <c r="I59" s="9"/>
      <c r="J59" s="10"/>
      <c r="K59" s="9"/>
      <c r="L59" s="9"/>
      <c r="M59" s="9"/>
    </row>
    <row r="60" spans="1:13" s="5" customFormat="1" ht="20" customHeight="1" x14ac:dyDescent="0.2">
      <c r="A60" s="9"/>
      <c r="B60" s="10"/>
      <c r="C60" s="9"/>
      <c r="D60" s="10"/>
      <c r="E60" s="9"/>
      <c r="F60" s="9"/>
      <c r="G60" s="9"/>
      <c r="H60" s="10"/>
      <c r="I60" s="9"/>
      <c r="J60" s="10"/>
      <c r="K60" s="9"/>
      <c r="L60" s="9"/>
      <c r="M60" s="9"/>
    </row>
    <row r="61" spans="1:13" s="5" customFormat="1" ht="20" customHeight="1" x14ac:dyDescent="0.2">
      <c r="A61" s="9"/>
      <c r="B61" s="10"/>
      <c r="C61" s="9"/>
      <c r="D61" s="10"/>
      <c r="E61" s="9"/>
      <c r="F61" s="9"/>
      <c r="G61" s="9"/>
      <c r="H61" s="10"/>
      <c r="I61" s="9"/>
      <c r="J61" s="10"/>
      <c r="K61" s="9"/>
      <c r="L61" s="9"/>
      <c r="M61" s="9"/>
    </row>
    <row r="62" spans="1:13" s="5" customFormat="1" ht="20" customHeight="1" x14ac:dyDescent="0.2">
      <c r="A62" s="9"/>
      <c r="B62" s="10"/>
      <c r="C62" s="9"/>
      <c r="D62" s="10"/>
      <c r="E62" s="9"/>
      <c r="F62" s="9"/>
      <c r="G62" s="9"/>
      <c r="H62" s="10"/>
      <c r="I62" s="9"/>
      <c r="J62" s="10"/>
      <c r="K62" s="9"/>
      <c r="L62" s="9"/>
      <c r="M62" s="9"/>
    </row>
    <row r="63" spans="1:13" s="5" customFormat="1" ht="20" customHeight="1" x14ac:dyDescent="0.2">
      <c r="A63" s="9"/>
      <c r="B63" s="10"/>
      <c r="C63" s="9"/>
      <c r="D63" s="10"/>
      <c r="E63" s="9"/>
      <c r="F63" s="9"/>
      <c r="G63" s="9"/>
      <c r="H63" s="10"/>
      <c r="I63" s="9"/>
      <c r="J63" s="10"/>
      <c r="K63" s="9"/>
      <c r="L63" s="9"/>
      <c r="M63" s="9"/>
    </row>
    <row r="64" spans="1:13" s="5" customFormat="1" ht="20" customHeight="1" x14ac:dyDescent="0.2">
      <c r="A64" s="9"/>
      <c r="B64" s="10"/>
      <c r="C64" s="9"/>
      <c r="D64" s="10"/>
      <c r="E64" s="9"/>
      <c r="F64" s="9"/>
      <c r="G64" s="9"/>
      <c r="H64" s="10"/>
      <c r="I64" s="9"/>
      <c r="J64" s="10"/>
      <c r="K64" s="9"/>
      <c r="L64" s="9"/>
      <c r="M64" s="9"/>
    </row>
    <row r="65" spans="1:13" s="5" customFormat="1" ht="20" customHeight="1" x14ac:dyDescent="0.2">
      <c r="A65" s="9"/>
      <c r="B65" s="10"/>
      <c r="C65" s="9"/>
      <c r="D65" s="10"/>
      <c r="E65" s="9"/>
      <c r="F65" s="9"/>
      <c r="G65" s="9"/>
      <c r="H65" s="10"/>
      <c r="I65" s="9"/>
      <c r="J65" s="10"/>
      <c r="K65" s="9"/>
      <c r="L65" s="9"/>
      <c r="M65" s="9"/>
    </row>
    <row r="66" spans="1:13" s="5" customFormat="1" ht="20" customHeight="1" x14ac:dyDescent="0.2">
      <c r="A66" s="9"/>
      <c r="B66" s="10"/>
      <c r="C66" s="9"/>
      <c r="D66" s="10"/>
      <c r="E66" s="9"/>
      <c r="F66" s="9"/>
      <c r="G66" s="9"/>
      <c r="H66" s="10"/>
      <c r="I66" s="9"/>
      <c r="J66" s="10"/>
      <c r="K66" s="9"/>
      <c r="L66" s="9"/>
      <c r="M66" s="9"/>
    </row>
    <row r="67" spans="1:13" s="5" customFormat="1" ht="20" customHeight="1" x14ac:dyDescent="0.2">
      <c r="A67" s="9"/>
      <c r="B67" s="10"/>
      <c r="C67" s="9"/>
      <c r="D67" s="10"/>
      <c r="E67" s="9"/>
      <c r="F67" s="9"/>
      <c r="G67" s="9"/>
      <c r="H67" s="10"/>
      <c r="I67" s="9"/>
      <c r="J67" s="10"/>
      <c r="K67" s="9"/>
      <c r="L67" s="9"/>
      <c r="M67" s="9"/>
    </row>
    <row r="68" spans="1:13" x14ac:dyDescent="0.2">
      <c r="A68" s="11"/>
      <c r="B68" s="12"/>
      <c r="C68" s="11"/>
      <c r="D68" s="12"/>
      <c r="E68" s="11"/>
      <c r="F68" s="11"/>
      <c r="G68" s="11"/>
      <c r="H68" s="12"/>
      <c r="I68" s="11"/>
      <c r="J68" s="12"/>
      <c r="K68" s="11"/>
      <c r="L68" s="11"/>
      <c r="M68" s="11"/>
    </row>
    <row r="69" spans="1:13" x14ac:dyDescent="0.2">
      <c r="A69" s="11"/>
      <c r="B69" s="12"/>
      <c r="C69" s="11"/>
      <c r="D69" s="12"/>
      <c r="E69" s="11"/>
      <c r="F69" s="11"/>
      <c r="G69" s="11"/>
      <c r="H69" s="12"/>
      <c r="I69" s="11"/>
      <c r="J69" s="12"/>
      <c r="K69" s="11"/>
      <c r="L69" s="11"/>
      <c r="M69" s="11"/>
    </row>
    <row r="70" spans="1:13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</row>
    <row r="71" spans="1:13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</row>
    <row r="72" spans="1:13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</row>
    <row r="73" spans="1:13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</row>
    <row r="74" spans="1:13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</row>
    <row r="75" spans="1:13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</row>
    <row r="76" spans="1:13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</row>
    <row r="77" spans="1:13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</row>
    <row r="78" spans="1:13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</row>
    <row r="79" spans="1:13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</row>
    <row r="80" spans="1:13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</row>
    <row r="81" spans="1:13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</row>
    <row r="82" spans="1:13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</row>
    <row r="83" spans="1:13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</row>
  </sheetData>
  <conditionalFormatting sqref="B6:J74">
    <cfRule type="notContainsBlanks" dxfId="19" priority="12">
      <formula>LEN(TRIM(B6))&gt;0</formula>
    </cfRule>
  </conditionalFormatting>
  <conditionalFormatting sqref="B1:B1048576 D1:D1048576 J1:J1048576 H1:H1048576 F5:F76 G5:G83 E5:E83">
    <cfRule type="containsText" dxfId="18" priority="1" operator="containsText" text="Clubs">
      <formula>NOT(ISERROR(SEARCH("Clubs",B1)))</formula>
    </cfRule>
    <cfRule type="containsText" dxfId="17" priority="2" operator="containsText" text="Diamonds">
      <formula>NOT(ISERROR(SEARCH("Diamonds",B1)))</formula>
    </cfRule>
    <cfRule type="containsText" dxfId="16" priority="3" operator="containsText" text="Spades">
      <formula>NOT(ISERROR(SEARCH("Spades",B1)))</formula>
    </cfRule>
    <cfRule type="containsText" dxfId="15" priority="5" operator="containsText" text="Hearts">
      <formula>NOT(ISERROR(SEARCH("Hearts",B1)))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2C392-83AD-4694-BB40-4FB7453BD229}">
  <sheetPr codeName="Sheet1"/>
  <dimension ref="D2:L9"/>
  <sheetViews>
    <sheetView zoomScale="80" zoomScaleNormal="80" workbookViewId="0">
      <selection activeCell="C9" sqref="C9"/>
    </sheetView>
  </sheetViews>
  <sheetFormatPr baseColWidth="10" defaultColWidth="8.6640625" defaultRowHeight="15" x14ac:dyDescent="0.2"/>
  <cols>
    <col min="1" max="3" width="8.6640625" style="23"/>
    <col min="4" max="4" width="24.6640625" style="23" bestFit="1" customWidth="1"/>
    <col min="5" max="5" width="17.6640625" style="23" bestFit="1" customWidth="1"/>
    <col min="6" max="6" width="14.5" style="23" bestFit="1" customWidth="1"/>
    <col min="7" max="7" width="29.1640625" style="23" bestFit="1" customWidth="1"/>
    <col min="8" max="9" width="14.5" style="23" bestFit="1" customWidth="1"/>
    <col min="10" max="10" width="24.6640625" style="23" bestFit="1" customWidth="1"/>
    <col min="11" max="11" width="17.6640625" style="23" bestFit="1" customWidth="1"/>
    <col min="12" max="12" width="14.5" style="23" bestFit="1" customWidth="1"/>
    <col min="13" max="13" width="25.1640625" style="23" bestFit="1" customWidth="1"/>
    <col min="14" max="14" width="13" style="23" bestFit="1" customWidth="1"/>
    <col min="15" max="15" width="16.6640625" style="23" customWidth="1"/>
    <col min="16" max="16384" width="8.6640625" style="23"/>
  </cols>
  <sheetData>
    <row r="2" spans="4:12" ht="21" thickBot="1" x14ac:dyDescent="0.3">
      <c r="D2" s="24" t="s">
        <v>76</v>
      </c>
      <c r="E2" s="24"/>
      <c r="F2" s="24"/>
      <c r="G2" s="25" t="s">
        <v>77</v>
      </c>
      <c r="H2" s="26" t="e">
        <f xml:space="preserve"> "Player: " &amp;_xlfn.SINGLE( INDEX(#REF!, COUNTA(#REF!)))</f>
        <v>#REF!</v>
      </c>
      <c r="I2" s="27"/>
      <c r="J2" s="28" t="s">
        <v>78</v>
      </c>
      <c r="K2" s="28"/>
      <c r="L2" s="28"/>
    </row>
    <row r="3" spans="4:12" ht="16" thickTop="1" x14ac:dyDescent="0.2">
      <c r="D3" t="s">
        <v>79</v>
      </c>
      <c r="E3" t="e">
        <f>MAX(#REF!)</f>
        <v>#REF!</v>
      </c>
      <c r="F3"/>
      <c r="G3" t="s">
        <v>80</v>
      </c>
      <c r="H3" t="e">
        <f>INT(MAX(#REF!))</f>
        <v>#REF!</v>
      </c>
      <c r="I3"/>
      <c r="J3" t="s">
        <v>79</v>
      </c>
      <c r="K3" t="e">
        <f>MAX(#REF!)</f>
        <v>#REF!</v>
      </c>
      <c r="L3"/>
    </row>
    <row r="4" spans="4:12" x14ac:dyDescent="0.2">
      <c r="D4" t="s">
        <v>81</v>
      </c>
      <c r="E4" t="e">
        <f>MAX(#REF!)</f>
        <v>#REF!</v>
      </c>
      <c r="F4"/>
      <c r="G4" t="s">
        <v>82</v>
      </c>
      <c r="H4" t="e">
        <f>MAX(#REF!)</f>
        <v>#REF!</v>
      </c>
      <c r="I4"/>
      <c r="J4" t="s">
        <v>81</v>
      </c>
      <c r="K4" t="e">
        <f>MAX(#REF!)</f>
        <v>#REF!</v>
      </c>
      <c r="L4"/>
    </row>
    <row r="5" spans="4:12" x14ac:dyDescent="0.2">
      <c r="D5" t="s">
        <v>83</v>
      </c>
      <c r="E5" s="29" t="e">
        <f>_xlfn.SINGLE(INDEX(#REF!,MODE(MATCH(#REF!,#REF!,0))))</f>
        <v>#REF!</v>
      </c>
      <c r="F5" t="e">
        <f>COUNTIF(#REF!, E5) &amp; " Times"</f>
        <v>#REF!</v>
      </c>
      <c r="G5" t="s">
        <v>84</v>
      </c>
      <c r="H5" t="e">
        <f>MAX(#REF!)</f>
        <v>#REF!</v>
      </c>
      <c r="I5"/>
      <c r="J5" t="s">
        <v>83</v>
      </c>
      <c r="K5" s="29" t="e">
        <f>_xlfn.SINGLE(INDEX(#REF!,MODE(MATCH(#REF!,#REF!,0))))</f>
        <v>#REF!</v>
      </c>
      <c r="L5" t="e">
        <f>COUNTIF(#REF!, K5) &amp; " Times"</f>
        <v>#REF!</v>
      </c>
    </row>
    <row r="6" spans="4:12" x14ac:dyDescent="0.2">
      <c r="D6" t="s">
        <v>85</v>
      </c>
      <c r="E6" s="29" t="e">
        <f>_xlfn.SINGLE(INDEX(#REF!,MODE(MATCH(#REF!,#REF!,0))))</f>
        <v>#REF!</v>
      </c>
      <c r="F6" t="e">
        <f>COUNTIF(#REF!, E6) &amp; " Times"</f>
        <v>#REF!</v>
      </c>
      <c r="G6" t="s">
        <v>86</v>
      </c>
      <c r="H6" t="e">
        <f>SUM(#REF!)</f>
        <v>#REF!</v>
      </c>
      <c r="I6"/>
      <c r="J6" t="s">
        <v>85</v>
      </c>
      <c r="K6" s="29" t="e">
        <f>_xlfn.SINGLE(INDEX(#REF!,MODE(MATCH(#REF!,#REF!,0))))</f>
        <v>#REF!</v>
      </c>
      <c r="L6" t="e">
        <f>COUNTIF(#REF!, K6) &amp; " Times"</f>
        <v>#REF!</v>
      </c>
    </row>
    <row r="7" spans="4:12" x14ac:dyDescent="0.2">
      <c r="D7" t="s">
        <v>87</v>
      </c>
      <c r="E7" t="e">
        <f>COUNTIF(#REF!,TRUE)</f>
        <v>#REF!</v>
      </c>
      <c r="F7"/>
      <c r="G7" t="s">
        <v>88</v>
      </c>
      <c r="H7" t="e">
        <f>SUM(#REF!)</f>
        <v>#REF!</v>
      </c>
      <c r="I7"/>
      <c r="J7" t="s">
        <v>87</v>
      </c>
      <c r="K7" t="e">
        <f>COUNTIF(#REF!,TRUE)</f>
        <v>#REF!</v>
      </c>
      <c r="L7"/>
    </row>
    <row r="8" spans="4:12" x14ac:dyDescent="0.2">
      <c r="D8" t="s">
        <v>89</v>
      </c>
      <c r="E8" t="e">
        <f>MAX(#REF!)</f>
        <v>#REF!</v>
      </c>
      <c r="F8"/>
      <c r="G8" t="s">
        <v>90</v>
      </c>
      <c r="H8" t="e">
        <f>SUM(#REF!)</f>
        <v>#REF!</v>
      </c>
      <c r="I8"/>
      <c r="J8" t="s">
        <v>89</v>
      </c>
      <c r="K8" t="e">
        <f>MAX(#REF!)</f>
        <v>#REF!</v>
      </c>
      <c r="L8"/>
    </row>
    <row r="9" spans="4:12" x14ac:dyDescent="0.2">
      <c r="D9" t="s">
        <v>91</v>
      </c>
      <c r="E9" t="e">
        <f>SUM(#REF!)</f>
        <v>#REF!</v>
      </c>
      <c r="F9"/>
      <c r="J9" t="s">
        <v>91</v>
      </c>
      <c r="K9" t="e">
        <f>SUM(#REF!)</f>
        <v>#REF!</v>
      </c>
      <c r="L9"/>
    </row>
  </sheetData>
  <conditionalFormatting sqref="H2">
    <cfRule type="containsText" dxfId="14" priority="15" operator="containsText" text="Player: 1">
      <formula>NOT(ISERROR(SEARCH("Player: 1",H2)))</formula>
    </cfRule>
    <cfRule type="containsText" dxfId="13" priority="16" operator="containsText" text="Player: 2">
      <formula>NOT(ISERROR(SEARCH("Player: 2",H2)))</formula>
    </cfRule>
  </conditionalFormatting>
  <conditionalFormatting sqref="G2">
    <cfRule type="expression" dxfId="12" priority="13">
      <formula>$H$2="Player: 2"</formula>
    </cfRule>
    <cfRule type="expression" dxfId="11" priority="14">
      <formula>$H$2="Player: 1"</formula>
    </cfRule>
  </conditionalFormatting>
  <conditionalFormatting sqref="K3 E3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E4 K4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E7 K7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E8 K8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E9 K9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K5:K6 E5:E6">
    <cfRule type="containsText" dxfId="10" priority="4" operator="containsText" text="Hearts">
      <formula>NOT(ISERROR(SEARCH("Hearts",E5)))</formula>
    </cfRule>
    <cfRule type="containsText" dxfId="9" priority="5" operator="containsText" text="Diamonds">
      <formula>NOT(ISERROR(SEARCH("Diamonds",E5)))</formula>
    </cfRule>
    <cfRule type="containsText" dxfId="8" priority="6" operator="containsText" text="Spades">
      <formula>NOT(ISERROR(SEARCH("Spades",E5)))</formula>
    </cfRule>
    <cfRule type="containsText" dxfId="7" priority="7" operator="containsText" text="Clubs">
      <formula>NOT(ISERROR(SEARCH("Clubs",E5)))</formula>
    </cfRule>
  </conditionalFormatting>
  <conditionalFormatting sqref="I2">
    <cfRule type="expression" dxfId="6" priority="2">
      <formula>$H$2="Player: 2"</formula>
    </cfRule>
    <cfRule type="expression" dxfId="5" priority="3">
      <formula>$H$2="Player: 1"</formula>
    </cfRule>
  </conditionalFormatting>
  <conditionalFormatting sqref="F3 L3">
    <cfRule type="dataBar" priority="1">
      <dataBar showValue="0">
        <cfvo type="num" val="0"/>
        <cfvo type="max"/>
        <color theme="1" tint="0.499984740745262"/>
      </dataBar>
      <extLst>
        <ext xmlns:x14="http://schemas.microsoft.com/office/spreadsheetml/2009/9/main" uri="{B025F937-C7B1-47D3-B67F-A62EFF666E3E}">
          <x14:id>{4503D996-F1D8-4A81-B17F-5DFF38B9D7C2}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layAnotherWar.PlayAnotherWar">
                <anchor moveWithCells="1" sizeWithCells="1">
                  <from>
                    <xdr:col>12</xdr:col>
                    <xdr:colOff>203200</xdr:colOff>
                    <xdr:row>1</xdr:row>
                    <xdr:rowOff>12700</xdr:rowOff>
                  </from>
                  <to>
                    <xdr:col>13</xdr:col>
                    <xdr:colOff>800100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03D996-F1D8-4A81-B17F-5DFF38B9D7C2}">
            <x14:dataBar minLength="0" maxLength="100" gradient="0">
              <x14:cfvo type="num">
                <xm:f>0</xm:f>
              </x14:cfvo>
              <x14:cfvo type="autoMax"/>
              <x14:negativeFillColor rgb="FFFF0000"/>
              <x14:axisColor rgb="FF000000"/>
            </x14:dataBar>
          </x14:cfRule>
          <xm:sqref>F3 L3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B57E4-5140-490A-8520-F7B0240E0D3D}">
  <sheetPr codeName="Sheet7"/>
  <dimension ref="C4:D8"/>
  <sheetViews>
    <sheetView showGridLines="0" topLeftCell="B1" zoomScale="90" zoomScaleNormal="90" workbookViewId="0">
      <selection activeCell="D6" sqref="D6"/>
    </sheetView>
  </sheetViews>
  <sheetFormatPr baseColWidth="10" defaultColWidth="8.83203125" defaultRowHeight="15" x14ac:dyDescent="0.2"/>
  <cols>
    <col min="1" max="2" width="8.83203125" style="27"/>
    <col min="3" max="3" width="87.33203125" style="27" bestFit="1" customWidth="1"/>
    <col min="4" max="4" width="94.6640625" style="27" bestFit="1" customWidth="1"/>
    <col min="5" max="8" width="8.83203125" style="27"/>
    <col min="9" max="9" width="8.83203125" style="27" customWidth="1"/>
    <col min="10" max="16384" width="8.83203125" style="27"/>
  </cols>
  <sheetData>
    <row r="4" spans="3:4" ht="33" x14ac:dyDescent="0.3">
      <c r="C4" s="30" t="s">
        <v>92</v>
      </c>
      <c r="D4" s="30" t="s">
        <v>93</v>
      </c>
    </row>
    <row r="5" spans="3:4" ht="103.25" customHeight="1" x14ac:dyDescent="0.2">
      <c r="C5" s="31" t="s">
        <v>94</v>
      </c>
      <c r="D5" s="31" t="s">
        <v>95</v>
      </c>
    </row>
    <row r="6" spans="3:4" ht="219.5" customHeight="1" x14ac:dyDescent="0.2">
      <c r="C6" s="31" t="s">
        <v>96</v>
      </c>
    </row>
    <row r="7" spans="3:4" x14ac:dyDescent="0.2">
      <c r="C7" s="32" t="str">
        <f>HYPERLINK("https://bicyclecards.com/how-to-play/war", "Rules Source: bicyclecards.com/how-to-play/war")</f>
        <v>Rules Source: bicyclecards.com/how-to-play/war</v>
      </c>
    </row>
    <row r="8" spans="3:4" ht="226.2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layWarGame.PlayWarGame">
                <anchor moveWithCells="1" sizeWithCells="1">
                  <from>
                    <xdr:col>3</xdr:col>
                    <xdr:colOff>1663700</xdr:colOff>
                    <xdr:row>5</xdr:row>
                    <xdr:rowOff>749300</xdr:rowOff>
                  </from>
                  <to>
                    <xdr:col>3</xdr:col>
                    <xdr:colOff>4826000</xdr:colOff>
                    <xdr:row>5</xdr:row>
                    <xdr:rowOff>2159000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BA172-8F4E-4295-9B17-697E69632C19}">
  <sheetPr codeName="Sheet3"/>
  <dimension ref="A1:AJ1"/>
  <sheetViews>
    <sheetView zoomScale="87" zoomScaleNormal="87" workbookViewId="0">
      <selection activeCell="AI1" sqref="AI1"/>
    </sheetView>
  </sheetViews>
  <sheetFormatPr baseColWidth="10" defaultColWidth="8.6640625" defaultRowHeight="15" x14ac:dyDescent="0.2"/>
  <cols>
    <col min="1" max="1" width="11.1640625" customWidth="1"/>
    <col min="2" max="2" width="15.6640625" bestFit="1" customWidth="1"/>
    <col min="3" max="3" width="26.33203125" bestFit="1" customWidth="1"/>
    <col min="4" max="4" width="20" bestFit="1" customWidth="1"/>
    <col min="5" max="5" width="19.5" bestFit="1" customWidth="1"/>
    <col min="6" max="6" width="17.1640625" bestFit="1" customWidth="1"/>
    <col min="7" max="7" width="21.1640625" bestFit="1" customWidth="1"/>
    <col min="8" max="8" width="20" bestFit="1" customWidth="1"/>
    <col min="9" max="9" width="19.5" bestFit="1" customWidth="1"/>
    <col min="10" max="10" width="15.1640625" bestFit="1" customWidth="1"/>
    <col min="11" max="11" width="13" bestFit="1" customWidth="1"/>
    <col min="12" max="13" width="21.1640625" bestFit="1" customWidth="1"/>
    <col min="14" max="15" width="19" bestFit="1" customWidth="1"/>
    <col min="16" max="16" width="32.6640625" bestFit="1" customWidth="1"/>
    <col min="17" max="17" width="38.5" bestFit="1" customWidth="1"/>
    <col min="18" max="18" width="43.6640625" bestFit="1" customWidth="1"/>
    <col min="19" max="19" width="22.6640625" bestFit="1" customWidth="1"/>
    <col min="20" max="20" width="32.6640625" bestFit="1" customWidth="1"/>
    <col min="21" max="21" width="38.5" bestFit="1" customWidth="1"/>
    <col min="22" max="22" width="43.6640625" bestFit="1" customWidth="1"/>
    <col min="23" max="23" width="22.6640625" bestFit="1" customWidth="1"/>
    <col min="24" max="24" width="18.6640625" bestFit="1" customWidth="1"/>
    <col min="25" max="25" width="15.6640625" bestFit="1" customWidth="1"/>
    <col min="26" max="26" width="24.33203125" customWidth="1"/>
    <col min="27" max="27" width="26.6640625" bestFit="1" customWidth="1"/>
    <col min="28" max="28" width="24.33203125" bestFit="1" customWidth="1"/>
    <col min="29" max="29" width="26.6640625" bestFit="1" customWidth="1"/>
    <col min="30" max="30" width="33.5" bestFit="1" customWidth="1"/>
    <col min="31" max="31" width="29.33203125" bestFit="1" customWidth="1"/>
    <col min="32" max="32" width="25.5" bestFit="1" customWidth="1"/>
    <col min="33" max="33" width="37.5" bestFit="1" customWidth="1"/>
    <col min="34" max="34" width="26.1640625" bestFit="1" customWidth="1"/>
    <col min="35" max="35" width="21.33203125" bestFit="1" customWidth="1"/>
    <col min="36" max="36" width="33.33203125" bestFit="1" customWidth="1"/>
    <col min="37" max="37" width="12.33203125" customWidth="1"/>
  </cols>
  <sheetData>
    <row r="1" spans="1:36" x14ac:dyDescent="0.2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L1" t="s">
        <v>108</v>
      </c>
      <c r="M1" t="s">
        <v>109</v>
      </c>
      <c r="N1" t="s">
        <v>110</v>
      </c>
      <c r="O1" t="s">
        <v>111</v>
      </c>
      <c r="P1" t="s">
        <v>112</v>
      </c>
      <c r="Q1" t="s">
        <v>113</v>
      </c>
      <c r="R1" t="s">
        <v>114</v>
      </c>
      <c r="S1" t="s">
        <v>115</v>
      </c>
      <c r="T1" t="s">
        <v>116</v>
      </c>
      <c r="U1" t="s">
        <v>117</v>
      </c>
      <c r="V1" t="s">
        <v>118</v>
      </c>
      <c r="W1" t="s">
        <v>119</v>
      </c>
      <c r="X1" t="s">
        <v>120</v>
      </c>
      <c r="Y1" t="s">
        <v>121</v>
      </c>
      <c r="Z1" t="s">
        <v>122</v>
      </c>
      <c r="AA1" t="s">
        <v>123</v>
      </c>
      <c r="AB1" t="s">
        <v>124</v>
      </c>
      <c r="AC1" t="s">
        <v>125</v>
      </c>
      <c r="AD1" t="s">
        <v>126</v>
      </c>
      <c r="AE1" t="s">
        <v>127</v>
      </c>
      <c r="AF1" t="s">
        <v>128</v>
      </c>
      <c r="AG1" t="s">
        <v>129</v>
      </c>
      <c r="AH1" t="s">
        <v>130</v>
      </c>
      <c r="AI1" t="s">
        <v>131</v>
      </c>
      <c r="AJ1" t="s">
        <v>132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DCF5-523D-ED4B-9B05-1413A3188F1A}">
  <sheetPr codeName="Sheet4"/>
  <dimension ref="A1:AW100"/>
  <sheetViews>
    <sheetView zoomScale="58" zoomScaleNormal="58" workbookViewId="0">
      <selection activeCell="A45" sqref="A45"/>
    </sheetView>
  </sheetViews>
  <sheetFormatPr baseColWidth="10" defaultRowHeight="15" x14ac:dyDescent="0.2"/>
  <cols>
    <col min="1" max="1" width="22.6640625" customWidth="1"/>
    <col min="2" max="2" width="30.5" customWidth="1"/>
    <col min="3" max="3" width="24.6640625" customWidth="1"/>
    <col min="4" max="4" width="46.33203125" customWidth="1"/>
    <col min="5" max="5" width="30.5" customWidth="1"/>
    <col min="6" max="6" width="32.1640625" customWidth="1"/>
    <col min="7" max="7" width="46.33203125" customWidth="1"/>
    <col min="8" max="8" width="24.6640625" customWidth="1"/>
    <col min="9" max="10" width="30.5" customWidth="1"/>
    <col min="11" max="49" width="15.1640625" customWidth="1"/>
  </cols>
  <sheetData>
    <row r="1" spans="1:49" ht="15" customHeight="1" x14ac:dyDescent="0.2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49" ht="15" customHeight="1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49" ht="16" customHeight="1" thickBo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49" ht="62" customHeight="1" thickBot="1" x14ac:dyDescent="0.25">
      <c r="A4" s="11"/>
      <c r="B4" s="11"/>
      <c r="C4" s="11"/>
      <c r="D4" s="6" t="str" cm="1">
        <f t="array" ref="D4:D29">Player_1_Hand[#All]</f>
        <v>Player 1's Hand</v>
      </c>
      <c r="E4" s="33" t="str" cm="1">
        <f t="array" ref="E4:E5">ComparisonTable1[#All]</f>
        <v>Battle Ground 1</v>
      </c>
      <c r="F4" s="34" t="str" cm="1">
        <f t="array" ref="F4:F5">ComparisonTable2[#All]</f>
        <v>Battle Ground 2</v>
      </c>
      <c r="G4" s="7" t="str" cm="1">
        <f t="array" ref="G4:G29">Player_2_Hand[#All]</f>
        <v>Player 2's Hand</v>
      </c>
      <c r="H4" s="11"/>
      <c r="I4" s="11"/>
      <c r="J4" s="11"/>
      <c r="K4" s="11"/>
      <c r="L4" s="11"/>
    </row>
    <row r="5" spans="1:49" ht="36.5" customHeight="1" thickBot="1" x14ac:dyDescent="0.25">
      <c r="A5" s="17"/>
      <c r="B5" s="18" t="str" cm="1">
        <f t="array" ref="B5:B7">Player_1_Discard_Pile[#All]</f>
        <v>Player 1's Discard Pile</v>
      </c>
      <c r="C5" s="19"/>
      <c r="D5" s="13" t="str">
        <v>5 of Spades</v>
      </c>
      <c r="E5" s="14">
        <v>0</v>
      </c>
      <c r="F5" s="14">
        <v>0</v>
      </c>
      <c r="G5" s="13" t="str">
        <v>6 of Spades</v>
      </c>
      <c r="H5" s="20"/>
      <c r="I5" s="21" t="str" cm="1">
        <f t="array" ref="I5:I6">Player_2_Discard_Pile[#All]</f>
        <v>Player 2's Discard Pile</v>
      </c>
      <c r="J5" s="22"/>
      <c r="K5" s="11"/>
      <c r="L5" s="11"/>
    </row>
    <row r="6" spans="1:49" ht="20" customHeight="1" x14ac:dyDescent="0.2">
      <c r="A6" s="9"/>
      <c r="B6" s="10" t="str">
        <v>4 of Clubs</v>
      </c>
      <c r="C6" s="9"/>
      <c r="D6" s="10" t="str">
        <v>8 of Diamonds</v>
      </c>
      <c r="E6" s="9"/>
      <c r="F6" s="9"/>
      <c r="G6" s="10" t="str">
        <v>3 of Clubs</v>
      </c>
      <c r="H6" s="9"/>
      <c r="I6" s="10">
        <v>0</v>
      </c>
      <c r="J6" s="9"/>
      <c r="K6" s="9"/>
      <c r="L6" s="9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</row>
    <row r="7" spans="1:49" ht="20" customHeight="1" x14ac:dyDescent="0.2">
      <c r="A7" s="9"/>
      <c r="B7" s="10" t="str">
        <v>10 of Clubs</v>
      </c>
      <c r="C7" s="9"/>
      <c r="D7" s="10" t="str">
        <v>8 of Spades</v>
      </c>
      <c r="E7" s="9"/>
      <c r="F7" s="9"/>
      <c r="G7" s="10" t="str">
        <v>7 of Clubs</v>
      </c>
      <c r="H7" s="9"/>
      <c r="I7" s="10"/>
      <c r="J7" s="9"/>
      <c r="K7" s="9"/>
      <c r="L7" s="9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</row>
    <row r="8" spans="1:49" ht="20" customHeight="1" x14ac:dyDescent="0.2">
      <c r="A8" s="9"/>
      <c r="B8" s="10"/>
      <c r="C8" s="9"/>
      <c r="D8" s="10" t="str">
        <v>Ace of Hearts</v>
      </c>
      <c r="E8" s="9"/>
      <c r="F8" s="9"/>
      <c r="G8" s="10" t="str">
        <v>9 of Clubs</v>
      </c>
      <c r="H8" s="9"/>
      <c r="I8" s="10"/>
      <c r="J8" s="9"/>
      <c r="K8" s="9"/>
      <c r="L8" s="9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</row>
    <row r="9" spans="1:49" ht="20" customHeight="1" x14ac:dyDescent="0.2">
      <c r="A9" s="9"/>
      <c r="B9" s="10"/>
      <c r="C9" s="9"/>
      <c r="D9" s="10" t="str">
        <v>7 of Diamonds</v>
      </c>
      <c r="E9" s="9"/>
      <c r="F9" s="9"/>
      <c r="G9" s="10" t="str">
        <v>9 of Diamonds</v>
      </c>
      <c r="H9" s="9"/>
      <c r="I9" s="10"/>
      <c r="J9" s="9"/>
      <c r="K9" s="9"/>
      <c r="L9" s="9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</row>
    <row r="10" spans="1:49" ht="20" customHeight="1" x14ac:dyDescent="0.2">
      <c r="A10" s="9"/>
      <c r="B10" s="10"/>
      <c r="C10" s="9"/>
      <c r="D10" s="10" t="str">
        <v>2 of Hearts</v>
      </c>
      <c r="E10" s="9"/>
      <c r="F10" s="9"/>
      <c r="G10" s="10" t="str">
        <v>King of Clubs</v>
      </c>
      <c r="H10" s="9"/>
      <c r="I10" s="10"/>
      <c r="J10" s="9"/>
      <c r="K10" s="9"/>
      <c r="L10" s="9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</row>
    <row r="11" spans="1:49" ht="20" customHeight="1" x14ac:dyDescent="0.2">
      <c r="A11" s="9"/>
      <c r="B11" s="10"/>
      <c r="C11" s="9"/>
      <c r="D11" s="10" t="str">
        <v>Jack of Spades</v>
      </c>
      <c r="E11" s="9"/>
      <c r="F11" s="9"/>
      <c r="G11" s="10" t="str">
        <v>4 of Diamonds</v>
      </c>
      <c r="H11" s="9"/>
      <c r="I11" s="10"/>
      <c r="J11" s="9"/>
      <c r="K11" s="9"/>
      <c r="L11" s="9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</row>
    <row r="12" spans="1:49" ht="20" customHeight="1" x14ac:dyDescent="0.2">
      <c r="A12" s="9"/>
      <c r="B12" s="10"/>
      <c r="C12" s="9"/>
      <c r="D12" s="10" t="str">
        <v>Ace of Diamonds</v>
      </c>
      <c r="E12" s="9"/>
      <c r="F12" s="9"/>
      <c r="G12" s="10" t="str">
        <v>7 of Hearts</v>
      </c>
      <c r="H12" s="9"/>
      <c r="I12" s="10"/>
      <c r="J12" s="9"/>
      <c r="K12" s="9"/>
      <c r="L12" s="9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</row>
    <row r="13" spans="1:49" ht="20" customHeight="1" x14ac:dyDescent="0.2">
      <c r="A13" s="9"/>
      <c r="B13" s="10"/>
      <c r="C13" s="9"/>
      <c r="D13" s="10" t="str">
        <v>Queen of Diamonds</v>
      </c>
      <c r="E13" s="9"/>
      <c r="F13" s="9"/>
      <c r="G13" s="10" t="str">
        <v>8 of Clubs</v>
      </c>
      <c r="H13" s="9"/>
      <c r="I13" s="10"/>
      <c r="J13" s="9"/>
      <c r="K13" s="9"/>
      <c r="L13" s="9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</row>
    <row r="14" spans="1:49" ht="20" customHeight="1" x14ac:dyDescent="0.2">
      <c r="A14" s="9"/>
      <c r="B14" s="10"/>
      <c r="C14" s="9"/>
      <c r="D14" s="10" t="str">
        <v>2 of Spades</v>
      </c>
      <c r="E14" s="9"/>
      <c r="F14" s="9"/>
      <c r="G14" s="10" t="str">
        <v>5 of Clubs</v>
      </c>
      <c r="H14" s="9"/>
      <c r="I14" s="10"/>
      <c r="J14" s="9"/>
      <c r="K14" s="9"/>
      <c r="L14" s="9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</row>
    <row r="15" spans="1:49" ht="20" customHeight="1" x14ac:dyDescent="0.2">
      <c r="A15" s="9"/>
      <c r="B15" s="10"/>
      <c r="C15" s="9"/>
      <c r="D15" s="10" t="str">
        <v>8 of Hearts</v>
      </c>
      <c r="E15" s="9"/>
      <c r="F15" s="9"/>
      <c r="G15" s="10" t="str">
        <v>Jack of Hearts</v>
      </c>
      <c r="H15" s="9"/>
      <c r="I15" s="10"/>
      <c r="J15" s="9"/>
      <c r="K15" s="9"/>
      <c r="L15" s="9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</row>
    <row r="16" spans="1:49" ht="20" customHeight="1" x14ac:dyDescent="0.2">
      <c r="A16" s="9"/>
      <c r="B16" s="10"/>
      <c r="C16" s="9"/>
      <c r="D16" s="10" t="str">
        <v>King of Diamonds</v>
      </c>
      <c r="E16" s="9"/>
      <c r="F16" s="9"/>
      <c r="G16" s="10" t="str">
        <v>2 of Diamonds</v>
      </c>
      <c r="H16" s="9"/>
      <c r="I16" s="10"/>
      <c r="J16" s="9"/>
      <c r="K16" s="9"/>
      <c r="L16" s="9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</row>
    <row r="17" spans="1:49" ht="20" customHeight="1" x14ac:dyDescent="0.2">
      <c r="A17" s="9"/>
      <c r="B17" s="10"/>
      <c r="C17" s="9"/>
      <c r="D17" s="10" t="str">
        <v>5 of Hearts</v>
      </c>
      <c r="E17" s="9"/>
      <c r="F17" s="9"/>
      <c r="G17" s="10" t="str">
        <v>6 of Hearts</v>
      </c>
      <c r="H17" s="9"/>
      <c r="I17" s="10"/>
      <c r="J17" s="9"/>
      <c r="K17" s="9"/>
      <c r="L17" s="9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</row>
    <row r="18" spans="1:49" ht="20" customHeight="1" x14ac:dyDescent="0.2">
      <c r="A18" s="9"/>
      <c r="B18" s="10"/>
      <c r="C18" s="9"/>
      <c r="D18" s="10" t="str">
        <v>7 of Spades</v>
      </c>
      <c r="E18" s="9"/>
      <c r="F18" s="9"/>
      <c r="G18" s="10" t="str">
        <v>3 of Diamonds</v>
      </c>
      <c r="H18" s="9"/>
      <c r="I18" s="10"/>
      <c r="J18" s="9"/>
      <c r="K18" s="9"/>
      <c r="L18" s="9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</row>
    <row r="19" spans="1:49" ht="20" customHeight="1" x14ac:dyDescent="0.2">
      <c r="A19" s="9"/>
      <c r="B19" s="10"/>
      <c r="C19" s="9"/>
      <c r="D19" s="10" t="str">
        <v>5 of Diamonds</v>
      </c>
      <c r="E19" s="9"/>
      <c r="F19" s="9"/>
      <c r="G19" s="10" t="str">
        <v>King of Spades</v>
      </c>
      <c r="H19" s="9"/>
      <c r="I19" s="10"/>
      <c r="J19" s="9"/>
      <c r="K19" s="9"/>
      <c r="L19" s="9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</row>
    <row r="20" spans="1:49" ht="20" customHeight="1" x14ac:dyDescent="0.2">
      <c r="A20" s="9"/>
      <c r="B20" s="10"/>
      <c r="C20" s="9"/>
      <c r="D20" s="10" t="str">
        <v>6 of Clubs</v>
      </c>
      <c r="E20" s="9"/>
      <c r="F20" s="9"/>
      <c r="G20" s="10" t="str">
        <v>Ace of Spades</v>
      </c>
      <c r="H20" s="9"/>
      <c r="I20" s="10"/>
      <c r="J20" s="9"/>
      <c r="K20" s="9"/>
      <c r="L20" s="9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</row>
    <row r="21" spans="1:49" ht="20" customHeight="1" x14ac:dyDescent="0.2">
      <c r="A21" s="9"/>
      <c r="B21" s="10"/>
      <c r="C21" s="9"/>
      <c r="D21" s="10" t="str">
        <v>Jack of Clubs</v>
      </c>
      <c r="E21" s="9"/>
      <c r="F21" s="9"/>
      <c r="G21" s="10" t="str">
        <v>Ace of Clubs</v>
      </c>
      <c r="H21" s="9"/>
      <c r="I21" s="10"/>
      <c r="J21" s="9"/>
      <c r="K21" s="9"/>
      <c r="L21" s="9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</row>
    <row r="22" spans="1:49" ht="20" customHeight="1" x14ac:dyDescent="0.2">
      <c r="A22" s="9"/>
      <c r="B22" s="10"/>
      <c r="C22" s="9"/>
      <c r="D22" s="10" t="str">
        <v>6 of Diamonds</v>
      </c>
      <c r="E22" s="9"/>
      <c r="F22" s="9"/>
      <c r="G22" s="10" t="str">
        <v>Queen of Spades</v>
      </c>
      <c r="H22" s="9"/>
      <c r="I22" s="10"/>
      <c r="J22" s="9"/>
      <c r="K22" s="9"/>
      <c r="L22" s="9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</row>
    <row r="23" spans="1:49" ht="20" customHeight="1" x14ac:dyDescent="0.2">
      <c r="A23" s="9"/>
      <c r="B23" s="10"/>
      <c r="C23" s="9"/>
      <c r="D23" s="10" t="str">
        <v>10 of Diamonds</v>
      </c>
      <c r="E23" s="9"/>
      <c r="F23" s="9"/>
      <c r="G23" s="10" t="str">
        <v>3 of Spades</v>
      </c>
      <c r="H23" s="9"/>
      <c r="I23" s="10"/>
      <c r="J23" s="9"/>
      <c r="K23" s="9"/>
      <c r="L23" s="9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</row>
    <row r="24" spans="1:49" ht="20" customHeight="1" x14ac:dyDescent="0.2">
      <c r="A24" s="9"/>
      <c r="B24" s="10"/>
      <c r="C24" s="9"/>
      <c r="D24" s="10" t="str">
        <v>4 of Hearts</v>
      </c>
      <c r="E24" s="9"/>
      <c r="F24" s="9"/>
      <c r="G24" s="10" t="str">
        <v>10 of Spades</v>
      </c>
      <c r="H24" s="9"/>
      <c r="I24" s="10"/>
      <c r="J24" s="9"/>
      <c r="K24" s="9"/>
      <c r="L24" s="9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20" customHeight="1" x14ac:dyDescent="0.2">
      <c r="A25" s="9"/>
      <c r="B25" s="10"/>
      <c r="C25" s="9"/>
      <c r="D25" s="10" t="str">
        <v>King of Hearts</v>
      </c>
      <c r="E25" s="9"/>
      <c r="F25" s="9"/>
      <c r="G25" s="10" t="str">
        <v>4 of Spades</v>
      </c>
      <c r="H25" s="9"/>
      <c r="I25" s="10"/>
      <c r="J25" s="9"/>
      <c r="K25" s="9"/>
      <c r="L25" s="9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</row>
    <row r="26" spans="1:49" ht="20" customHeight="1" x14ac:dyDescent="0.2">
      <c r="A26" s="9"/>
      <c r="B26" s="10"/>
      <c r="C26" s="9"/>
      <c r="D26" s="10" t="str">
        <v>Queen of Hearts</v>
      </c>
      <c r="E26" s="9"/>
      <c r="F26" s="9"/>
      <c r="G26" s="10" t="str">
        <v>Queen of Clubs</v>
      </c>
      <c r="H26" s="9"/>
      <c r="I26" s="10"/>
      <c r="J26" s="9"/>
      <c r="K26" s="9"/>
      <c r="L26" s="9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</row>
    <row r="27" spans="1:49" ht="20" customHeight="1" x14ac:dyDescent="0.2">
      <c r="A27" s="9"/>
      <c r="B27" s="10"/>
      <c r="C27" s="9"/>
      <c r="D27" s="10" t="str">
        <v>Jack of Diamonds</v>
      </c>
      <c r="E27" s="9"/>
      <c r="F27" s="9"/>
      <c r="G27" s="10" t="str">
        <v>9 of Hearts</v>
      </c>
      <c r="H27" s="9"/>
      <c r="I27" s="10"/>
      <c r="J27" s="9"/>
      <c r="K27" s="9"/>
      <c r="L27" s="9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</row>
    <row r="28" spans="1:49" ht="20" customHeight="1" x14ac:dyDescent="0.2">
      <c r="A28" s="9"/>
      <c r="B28" s="10"/>
      <c r="C28" s="9"/>
      <c r="D28" s="10" t="str">
        <v>2 of Clubs</v>
      </c>
      <c r="E28" s="9"/>
      <c r="F28" s="9"/>
      <c r="G28" s="10" t="str">
        <v>3 of Hearts</v>
      </c>
      <c r="H28" s="9"/>
      <c r="I28" s="10"/>
      <c r="J28" s="9"/>
      <c r="K28" s="9"/>
      <c r="L28" s="9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</row>
    <row r="29" spans="1:49" ht="20" customHeight="1" x14ac:dyDescent="0.2">
      <c r="A29" s="9"/>
      <c r="B29" s="10"/>
      <c r="C29" s="9"/>
      <c r="D29" s="10" t="str">
        <v>10 of Hearts</v>
      </c>
      <c r="E29" s="9"/>
      <c r="F29" s="9"/>
      <c r="G29" s="10" t="str">
        <v>9 of Spades</v>
      </c>
      <c r="H29" s="9"/>
      <c r="I29" s="10"/>
      <c r="J29" s="9"/>
      <c r="K29" s="9"/>
      <c r="L29" s="9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</row>
    <row r="30" spans="1:49" ht="20" customHeight="1" x14ac:dyDescent="0.2">
      <c r="A30" s="9"/>
      <c r="B30" s="10"/>
      <c r="C30" s="9"/>
      <c r="D30" s="10"/>
      <c r="E30" s="9"/>
      <c r="F30" s="9"/>
      <c r="G30" s="10"/>
      <c r="H30" s="9"/>
      <c r="I30" s="10"/>
      <c r="J30" s="9"/>
      <c r="K30" s="9"/>
      <c r="L30" s="9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</row>
    <row r="31" spans="1:49" ht="20" customHeight="1" x14ac:dyDescent="0.2">
      <c r="A31" s="9"/>
      <c r="B31" s="10"/>
      <c r="C31" s="9"/>
      <c r="D31" s="10"/>
      <c r="E31" s="9"/>
      <c r="F31" s="9"/>
      <c r="G31" s="10"/>
      <c r="H31" s="9"/>
      <c r="I31" s="10"/>
      <c r="J31" s="9"/>
      <c r="K31" s="9"/>
      <c r="L31" s="9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</row>
    <row r="32" spans="1:49" ht="20" customHeight="1" x14ac:dyDescent="0.2">
      <c r="A32" s="9"/>
      <c r="B32" s="10"/>
      <c r="C32" s="9"/>
      <c r="D32" s="10"/>
      <c r="E32" s="9"/>
      <c r="F32" s="9"/>
      <c r="G32" s="10"/>
      <c r="H32" s="9"/>
      <c r="I32" s="10"/>
      <c r="J32" s="9"/>
      <c r="K32" s="9"/>
      <c r="L32" s="9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</row>
    <row r="33" spans="1:49" ht="20" customHeight="1" x14ac:dyDescent="0.2">
      <c r="A33" s="9"/>
      <c r="B33" s="10"/>
      <c r="C33" s="9"/>
      <c r="D33" s="10"/>
      <c r="E33" s="9"/>
      <c r="F33" s="9"/>
      <c r="G33" s="10"/>
      <c r="H33" s="9"/>
      <c r="I33" s="10"/>
      <c r="J33" s="9"/>
      <c r="K33" s="9"/>
      <c r="L33" s="9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</row>
    <row r="34" spans="1:49" ht="20" customHeight="1" x14ac:dyDescent="0.2">
      <c r="A34" s="9"/>
      <c r="B34" s="10"/>
      <c r="C34" s="9"/>
      <c r="D34" s="10"/>
      <c r="E34" s="9"/>
      <c r="F34" s="9"/>
      <c r="G34" s="10"/>
      <c r="H34" s="9"/>
      <c r="I34" s="10"/>
      <c r="J34" s="9"/>
      <c r="K34" s="9"/>
      <c r="L34" s="9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</row>
    <row r="35" spans="1:49" ht="20" customHeight="1" x14ac:dyDescent="0.2">
      <c r="A35" s="9"/>
      <c r="B35" s="10"/>
      <c r="C35" s="9"/>
      <c r="D35" s="10"/>
      <c r="E35" s="9"/>
      <c r="F35" s="9"/>
      <c r="G35" s="10"/>
      <c r="H35" s="9"/>
      <c r="I35" s="10"/>
      <c r="J35" s="9"/>
      <c r="K35" s="9"/>
      <c r="L35" s="9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</row>
    <row r="36" spans="1:49" ht="20" customHeight="1" x14ac:dyDescent="0.2">
      <c r="A36" s="9"/>
      <c r="B36" s="10"/>
      <c r="C36" s="9"/>
      <c r="D36" s="10"/>
      <c r="E36" s="9"/>
      <c r="F36" s="9"/>
      <c r="G36" s="10"/>
      <c r="H36" s="9"/>
      <c r="I36" s="10"/>
      <c r="J36" s="9"/>
      <c r="K36" s="9"/>
      <c r="L36" s="9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</row>
    <row r="37" spans="1:49" ht="20" customHeight="1" x14ac:dyDescent="0.2">
      <c r="A37" s="9"/>
      <c r="B37" s="10"/>
      <c r="C37" s="9"/>
      <c r="D37" s="10"/>
      <c r="E37" s="9"/>
      <c r="F37" s="9"/>
      <c r="G37" s="10"/>
      <c r="H37" s="9"/>
      <c r="I37" s="10"/>
      <c r="J37" s="9"/>
      <c r="K37" s="9"/>
      <c r="L37" s="9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</row>
    <row r="38" spans="1:49" ht="20" customHeight="1" x14ac:dyDescent="0.2">
      <c r="A38" s="9"/>
      <c r="B38" s="10"/>
      <c r="C38" s="9"/>
      <c r="D38" s="10"/>
      <c r="E38" s="9"/>
      <c r="F38" s="9"/>
      <c r="G38" s="10"/>
      <c r="H38" s="9"/>
      <c r="I38" s="10"/>
      <c r="J38" s="9"/>
      <c r="K38" s="9"/>
      <c r="L38" s="9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</row>
    <row r="39" spans="1:49" ht="20" customHeight="1" x14ac:dyDescent="0.2">
      <c r="A39" s="9"/>
      <c r="B39" s="10"/>
      <c r="C39" s="9"/>
      <c r="D39" s="10"/>
      <c r="E39" s="9"/>
      <c r="F39" s="9"/>
      <c r="G39" s="10"/>
      <c r="H39" s="9"/>
      <c r="I39" s="10"/>
      <c r="J39" s="9"/>
      <c r="K39" s="9"/>
      <c r="L39" s="9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</row>
    <row r="40" spans="1:49" ht="20" customHeight="1" x14ac:dyDescent="0.2">
      <c r="A40" s="9"/>
      <c r="B40" s="10"/>
      <c r="C40" s="9"/>
      <c r="D40" s="10"/>
      <c r="E40" s="9"/>
      <c r="F40" s="9"/>
      <c r="G40" s="10"/>
      <c r="H40" s="9"/>
      <c r="I40" s="10"/>
      <c r="J40" s="9"/>
      <c r="K40" s="9"/>
      <c r="L40" s="9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</row>
    <row r="41" spans="1:49" ht="20" customHeight="1" x14ac:dyDescent="0.2">
      <c r="A41" s="9"/>
      <c r="B41" s="10"/>
      <c r="C41" s="9"/>
      <c r="D41" s="10"/>
      <c r="E41" s="9"/>
      <c r="F41" s="9"/>
      <c r="G41" s="10"/>
      <c r="H41" s="9"/>
      <c r="I41" s="10"/>
      <c r="J41" s="9"/>
      <c r="K41" s="9"/>
      <c r="L41" s="9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</row>
    <row r="42" spans="1:49" ht="20" customHeight="1" x14ac:dyDescent="0.2">
      <c r="A42" s="9"/>
      <c r="B42" s="10"/>
      <c r="C42" s="9"/>
      <c r="D42" s="10"/>
      <c r="E42" s="9"/>
      <c r="F42" s="9"/>
      <c r="G42" s="10"/>
      <c r="H42" s="9"/>
      <c r="I42" s="10"/>
      <c r="J42" s="9"/>
      <c r="K42" s="9"/>
      <c r="L42" s="9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</row>
    <row r="43" spans="1:49" ht="20" customHeight="1" x14ac:dyDescent="0.2">
      <c r="A43" s="9"/>
      <c r="B43" s="10"/>
      <c r="C43" s="9"/>
      <c r="D43" s="10"/>
      <c r="E43" s="9"/>
      <c r="F43" s="9"/>
      <c r="G43" s="10"/>
      <c r="H43" s="9"/>
      <c r="I43" s="10"/>
      <c r="J43" s="9"/>
      <c r="K43" s="9"/>
      <c r="L43" s="9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</row>
    <row r="44" spans="1:49" ht="20" customHeight="1" x14ac:dyDescent="0.2">
      <c r="A44" s="9"/>
      <c r="B44" s="10"/>
      <c r="C44" s="9"/>
      <c r="D44" s="10"/>
      <c r="E44" s="9"/>
      <c r="F44" s="9"/>
      <c r="G44" s="10"/>
      <c r="H44" s="9"/>
      <c r="I44" s="10"/>
      <c r="J44" s="9"/>
      <c r="K44" s="9"/>
      <c r="L44" s="9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</row>
    <row r="45" spans="1:49" ht="20" customHeight="1" x14ac:dyDescent="0.2">
      <c r="A45" s="9"/>
      <c r="B45" s="10"/>
      <c r="C45" s="9"/>
      <c r="D45" s="10"/>
      <c r="E45" s="9"/>
      <c r="F45" s="9"/>
      <c r="G45" s="10"/>
      <c r="H45" s="9"/>
      <c r="I45" s="10"/>
      <c r="J45" s="9"/>
      <c r="K45" s="9"/>
      <c r="L45" s="9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</row>
    <row r="46" spans="1:49" ht="20" customHeight="1" x14ac:dyDescent="0.2">
      <c r="A46" s="9"/>
      <c r="B46" s="10"/>
      <c r="C46" s="9"/>
      <c r="D46" s="10"/>
      <c r="E46" s="9"/>
      <c r="F46" s="9"/>
      <c r="G46" s="10"/>
      <c r="H46" s="9"/>
      <c r="I46" s="10"/>
      <c r="J46" s="9"/>
      <c r="K46" s="9"/>
      <c r="L46" s="9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</row>
    <row r="47" spans="1:49" ht="20" customHeight="1" x14ac:dyDescent="0.2">
      <c r="A47" s="9"/>
      <c r="B47" s="10"/>
      <c r="C47" s="9"/>
      <c r="D47" s="10"/>
      <c r="E47" s="9"/>
      <c r="F47" s="9"/>
      <c r="G47" s="10"/>
      <c r="H47" s="9"/>
      <c r="I47" s="10"/>
      <c r="J47" s="9"/>
      <c r="K47" s="9"/>
      <c r="L47" s="9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</row>
    <row r="48" spans="1:49" ht="20" customHeight="1" x14ac:dyDescent="0.2">
      <c r="A48" s="9"/>
      <c r="B48" s="10"/>
      <c r="C48" s="9"/>
      <c r="D48" s="10"/>
      <c r="E48" s="9"/>
      <c r="F48" s="9"/>
      <c r="G48" s="10"/>
      <c r="H48" s="9"/>
      <c r="I48" s="10"/>
      <c r="J48" s="9"/>
      <c r="K48" s="9"/>
      <c r="L48" s="9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</row>
    <row r="49" spans="1:49" ht="20" customHeight="1" x14ac:dyDescent="0.2">
      <c r="A49" s="9"/>
      <c r="B49" s="10"/>
      <c r="C49" s="9"/>
      <c r="D49" s="10"/>
      <c r="E49" s="9"/>
      <c r="F49" s="9"/>
      <c r="G49" s="10"/>
      <c r="H49" s="9"/>
      <c r="I49" s="10"/>
      <c r="J49" s="9"/>
      <c r="K49" s="9"/>
      <c r="L49" s="9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</row>
    <row r="50" spans="1:49" ht="20" customHeight="1" x14ac:dyDescent="0.2">
      <c r="A50" s="9"/>
      <c r="B50" s="10"/>
      <c r="C50" s="9"/>
      <c r="D50" s="10"/>
      <c r="E50" s="9"/>
      <c r="F50" s="9"/>
      <c r="G50" s="10"/>
      <c r="H50" s="9"/>
      <c r="I50" s="10"/>
      <c r="J50" s="9"/>
      <c r="K50" s="9"/>
      <c r="L50" s="9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</row>
    <row r="51" spans="1:49" ht="20" customHeight="1" x14ac:dyDescent="0.2">
      <c r="A51" s="9"/>
      <c r="B51" s="10"/>
      <c r="C51" s="9"/>
      <c r="D51" s="10"/>
      <c r="E51" s="9"/>
      <c r="F51" s="9"/>
      <c r="G51" s="10"/>
      <c r="H51" s="9"/>
      <c r="I51" s="10"/>
      <c r="J51" s="9"/>
      <c r="K51" s="9"/>
      <c r="L51" s="9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</row>
    <row r="52" spans="1:49" ht="20" customHeight="1" x14ac:dyDescent="0.2">
      <c r="A52" s="9"/>
      <c r="B52" s="10"/>
      <c r="C52" s="9"/>
      <c r="D52" s="10"/>
      <c r="E52" s="9"/>
      <c r="F52" s="9"/>
      <c r="G52" s="10"/>
      <c r="H52" s="9"/>
      <c r="I52" s="10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</row>
    <row r="53" spans="1:49" ht="20" customHeight="1" x14ac:dyDescent="0.2">
      <c r="A53" s="9"/>
      <c r="B53" s="10"/>
      <c r="C53" s="9"/>
      <c r="D53" s="10"/>
      <c r="E53" s="9"/>
      <c r="F53" s="9"/>
      <c r="G53" s="10"/>
      <c r="H53" s="9"/>
      <c r="I53" s="10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</row>
    <row r="54" spans="1:49" ht="20" customHeight="1" x14ac:dyDescent="0.2">
      <c r="A54" s="9"/>
      <c r="B54" s="10"/>
      <c r="C54" s="9"/>
      <c r="D54" s="10"/>
      <c r="E54" s="9"/>
      <c r="F54" s="9"/>
      <c r="G54" s="10"/>
      <c r="H54" s="9"/>
      <c r="I54" s="10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</row>
    <row r="55" spans="1:49" ht="20" customHeight="1" x14ac:dyDescent="0.2">
      <c r="A55" s="9"/>
      <c r="B55" s="10"/>
      <c r="C55" s="9"/>
      <c r="D55" s="10"/>
      <c r="E55" s="9"/>
      <c r="F55" s="9"/>
      <c r="G55" s="10"/>
      <c r="H55" s="9"/>
      <c r="I55" s="10"/>
      <c r="J55" s="9"/>
      <c r="K55" s="9"/>
      <c r="L55" s="9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</row>
    <row r="56" spans="1:49" ht="20" customHeight="1" x14ac:dyDescent="0.2">
      <c r="A56" s="9"/>
      <c r="B56" s="10"/>
      <c r="C56" s="9"/>
      <c r="D56" s="10"/>
      <c r="E56" s="9"/>
      <c r="F56" s="9"/>
      <c r="G56" s="10"/>
      <c r="H56" s="9"/>
      <c r="I56" s="10"/>
      <c r="J56" s="9"/>
      <c r="K56" s="9"/>
      <c r="L56" s="9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</row>
    <row r="57" spans="1:49" ht="20" customHeight="1" x14ac:dyDescent="0.2">
      <c r="A57" s="9"/>
      <c r="B57" s="10"/>
      <c r="C57" s="9"/>
      <c r="D57" s="10"/>
      <c r="E57" s="9"/>
      <c r="F57" s="9"/>
      <c r="G57" s="10"/>
      <c r="H57" s="9"/>
      <c r="I57" s="10"/>
      <c r="J57" s="9"/>
      <c r="K57" s="9"/>
      <c r="L57" s="9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</row>
    <row r="58" spans="1:49" ht="20" customHeight="1" x14ac:dyDescent="0.2">
      <c r="A58" s="9"/>
      <c r="B58" s="10"/>
      <c r="C58" s="9"/>
      <c r="D58" s="10"/>
      <c r="E58" s="9"/>
      <c r="F58" s="9"/>
      <c r="G58" s="10"/>
      <c r="H58" s="9"/>
      <c r="I58" s="10"/>
      <c r="J58" s="9"/>
      <c r="K58" s="9"/>
      <c r="L58" s="9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</row>
    <row r="59" spans="1:49" ht="20" customHeight="1" x14ac:dyDescent="0.2">
      <c r="A59" s="9"/>
      <c r="B59" s="10"/>
      <c r="C59" s="9"/>
      <c r="D59" s="10"/>
      <c r="E59" s="9"/>
      <c r="F59" s="9"/>
      <c r="G59" s="10"/>
      <c r="H59" s="9"/>
      <c r="I59" s="10"/>
      <c r="J59" s="9"/>
      <c r="K59" s="9"/>
      <c r="L59" s="9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</row>
    <row r="60" spans="1:49" ht="20" customHeight="1" x14ac:dyDescent="0.2">
      <c r="A60" s="9"/>
      <c r="B60" s="10"/>
      <c r="C60" s="9"/>
      <c r="D60" s="10"/>
      <c r="E60" s="9"/>
      <c r="F60" s="9"/>
      <c r="G60" s="10"/>
      <c r="H60" s="9"/>
      <c r="I60" s="10"/>
      <c r="J60" s="9"/>
      <c r="K60" s="9"/>
      <c r="L60" s="9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</row>
    <row r="61" spans="1:49" ht="20" customHeight="1" x14ac:dyDescent="0.2">
      <c r="A61" s="9"/>
      <c r="B61" s="10"/>
      <c r="C61" s="9"/>
      <c r="D61" s="10"/>
      <c r="E61" s="9"/>
      <c r="F61" s="9"/>
      <c r="G61" s="10"/>
      <c r="H61" s="9"/>
      <c r="I61" s="10"/>
      <c r="J61" s="9"/>
      <c r="K61" s="9"/>
      <c r="L61" s="9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</row>
    <row r="62" spans="1:49" ht="20" customHeight="1" x14ac:dyDescent="0.2">
      <c r="A62" s="9"/>
      <c r="B62" s="10"/>
      <c r="C62" s="9"/>
      <c r="D62" s="10"/>
      <c r="E62" s="9"/>
      <c r="F62" s="9"/>
      <c r="G62" s="10"/>
      <c r="H62" s="9"/>
      <c r="I62" s="10"/>
      <c r="J62" s="9"/>
      <c r="K62" s="9"/>
      <c r="L62" s="9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</row>
    <row r="63" spans="1:49" ht="20" customHeight="1" x14ac:dyDescent="0.2">
      <c r="A63" s="9"/>
      <c r="B63" s="10"/>
      <c r="C63" s="9"/>
      <c r="D63" s="10"/>
      <c r="E63" s="9"/>
      <c r="F63" s="9"/>
      <c r="G63" s="10"/>
      <c r="H63" s="9"/>
      <c r="I63" s="10"/>
      <c r="J63" s="9"/>
      <c r="K63" s="9"/>
      <c r="L63" s="9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</row>
    <row r="64" spans="1:49" ht="20" customHeight="1" x14ac:dyDescent="0.2">
      <c r="A64" s="9"/>
      <c r="B64" s="10"/>
      <c r="C64" s="9"/>
      <c r="D64" s="10"/>
      <c r="E64" s="9"/>
      <c r="F64" s="9"/>
      <c r="G64" s="10"/>
      <c r="H64" s="9"/>
      <c r="I64" s="10"/>
      <c r="J64" s="9"/>
      <c r="K64" s="9"/>
      <c r="L64" s="9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</row>
    <row r="65" spans="1:49" ht="20" customHeight="1" x14ac:dyDescent="0.2">
      <c r="A65" s="9"/>
      <c r="B65" s="10"/>
      <c r="C65" s="9"/>
      <c r="D65" s="10"/>
      <c r="E65" s="9"/>
      <c r="F65" s="9"/>
      <c r="G65" s="10"/>
      <c r="H65" s="9"/>
      <c r="I65" s="10"/>
      <c r="J65" s="9"/>
      <c r="K65" s="9"/>
      <c r="L65" s="9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</row>
    <row r="66" spans="1:49" ht="20" customHeight="1" x14ac:dyDescent="0.2">
      <c r="A66" s="9"/>
      <c r="B66" s="10"/>
      <c r="C66" s="9"/>
      <c r="D66" s="10"/>
      <c r="E66" s="9"/>
      <c r="F66" s="9"/>
      <c r="G66" s="10"/>
      <c r="H66" s="9"/>
      <c r="I66" s="10"/>
      <c r="J66" s="9"/>
      <c r="K66" s="9"/>
      <c r="L66" s="9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</row>
    <row r="67" spans="1:49" ht="20" customHeight="1" x14ac:dyDescent="0.2">
      <c r="A67" s="9"/>
      <c r="B67" s="10"/>
      <c r="C67" s="9"/>
      <c r="D67" s="10"/>
      <c r="E67" s="9"/>
      <c r="F67" s="9"/>
      <c r="G67" s="10"/>
      <c r="H67" s="9"/>
      <c r="I67" s="10"/>
      <c r="J67" s="9"/>
      <c r="K67" s="9"/>
      <c r="L67" s="9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</row>
    <row r="68" spans="1:49" ht="15" customHeight="1" x14ac:dyDescent="0.2">
      <c r="A68" s="11"/>
      <c r="B68" s="12"/>
      <c r="C68" s="11"/>
      <c r="D68" s="12"/>
      <c r="E68" s="11"/>
      <c r="F68" s="11"/>
      <c r="G68" s="12"/>
      <c r="H68" s="11"/>
      <c r="I68" s="12"/>
      <c r="J68" s="11"/>
      <c r="K68" s="11"/>
      <c r="L68" s="11"/>
    </row>
    <row r="69" spans="1:49" ht="15" customHeight="1" x14ac:dyDescent="0.2">
      <c r="A69" s="11"/>
      <c r="B69" s="12"/>
      <c r="C69" s="11"/>
      <c r="D69" s="12"/>
      <c r="E69" s="11"/>
      <c r="F69" s="11"/>
      <c r="G69" s="12"/>
      <c r="H69" s="11"/>
      <c r="I69" s="12"/>
      <c r="J69" s="11"/>
      <c r="K69" s="11"/>
      <c r="L69" s="11"/>
    </row>
    <row r="70" spans="1:49" ht="15" customHeight="1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</row>
    <row r="71" spans="1:49" ht="15" customHeight="1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</row>
    <row r="72" spans="1:49" ht="15" customHeight="1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</row>
    <row r="73" spans="1:49" ht="15" customHeight="1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</row>
    <row r="74" spans="1:49" ht="15" customHeight="1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</row>
    <row r="75" spans="1:49" ht="15" customHeight="1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</row>
    <row r="76" spans="1:49" ht="15" customHeight="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</row>
    <row r="77" spans="1:49" ht="15" customHeight="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</row>
    <row r="78" spans="1:49" ht="15" customHeight="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</row>
    <row r="79" spans="1:49" ht="15" customHeight="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</row>
    <row r="80" spans="1:49" ht="15" customHeight="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</row>
    <row r="81" spans="1:12" ht="15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</row>
    <row r="82" spans="1:12" ht="15" customHeight="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</row>
    <row r="83" spans="1:12" ht="15" customHeight="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</row>
    <row r="84" spans="1:12" ht="15" customHeight="1" x14ac:dyDescent="0.2"/>
    <row r="85" spans="1:12" ht="15" customHeight="1" x14ac:dyDescent="0.2"/>
    <row r="86" spans="1:12" ht="15" customHeight="1" x14ac:dyDescent="0.2"/>
    <row r="87" spans="1:12" ht="15" customHeight="1" x14ac:dyDescent="0.2"/>
    <row r="88" spans="1:12" ht="15" customHeight="1" x14ac:dyDescent="0.2"/>
    <row r="89" spans="1:12" ht="15" customHeight="1" x14ac:dyDescent="0.2"/>
    <row r="90" spans="1:12" ht="15" customHeight="1" x14ac:dyDescent="0.2"/>
    <row r="91" spans="1:12" ht="15" customHeight="1" x14ac:dyDescent="0.2"/>
    <row r="92" spans="1:12" ht="15" customHeight="1" x14ac:dyDescent="0.2"/>
    <row r="93" spans="1:12" ht="15" customHeight="1" x14ac:dyDescent="0.2"/>
    <row r="94" spans="1:12" ht="15" customHeight="1" x14ac:dyDescent="0.2"/>
    <row r="95" spans="1:12" ht="15" customHeight="1" x14ac:dyDescent="0.2"/>
    <row r="96" spans="1:12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</sheetData>
  <conditionalFormatting sqref="B6:I74">
    <cfRule type="notContainsBlanks" dxfId="4" priority="5">
      <formula>LEN(TRIM(B6))&gt;0</formula>
    </cfRule>
  </conditionalFormatting>
  <conditionalFormatting sqref="B1:B200 D1:D200 I1:I200 G1:G200 F5:F76 E5:E83">
    <cfRule type="containsText" dxfId="3" priority="1" operator="containsText" text="Clubs">
      <formula>NOT(ISERROR(SEARCH("Clubs",B1)))</formula>
    </cfRule>
    <cfRule type="containsText" dxfId="2" priority="2" operator="containsText" text="Diamonds">
      <formula>NOT(ISERROR(SEARCH("Diamonds",B1)))</formula>
    </cfRule>
    <cfRule type="containsText" dxfId="1" priority="3" operator="containsText" text="Spades">
      <formula>NOT(ISERROR(SEARCH("Spades",B1)))</formula>
    </cfRule>
    <cfRule type="containsText" dxfId="0" priority="4" operator="containsText" text="Hearts">
      <formula>NOT(ISERROR(SEARCH("Hearts",B1)))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PlayWarButton">
              <controlPr defaultSize="0" print="0" autoFill="0" autoPict="0" macro="[0]!PlayWar2.PlayWar2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BackEnd</vt:lpstr>
      <vt:lpstr>FrontEnd (2)</vt:lpstr>
      <vt:lpstr>GameStatistics</vt:lpstr>
      <vt:lpstr>RulesOfTheGame</vt:lpstr>
      <vt:lpstr>GameData</vt:lpstr>
      <vt:lpstr>FrontEnd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Nate Tompkins</dc:creator>
  <cp:keywords/>
  <dc:description/>
  <cp:lastModifiedBy>Nate Tompkins</cp:lastModifiedBy>
  <cp:revision/>
  <dcterms:created xsi:type="dcterms:W3CDTF">2024-03-15T16:40:07Z</dcterms:created>
  <dcterms:modified xsi:type="dcterms:W3CDTF">2024-04-19T20:37:41Z</dcterms:modified>
  <cp:category/>
  <cp:contentStatus/>
</cp:coreProperties>
</file>